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Regional_Summary_2025" sheetId="3" state="visible" r:id="rId5"/>
    <sheet name="Dublin_vs_Rest" sheetId="4" state="visible" r:id="rId6"/>
    <sheet name="Affordabil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<sst xmlns="http://schemas.openxmlformats.org/spreadsheetml/2006/main" count="784" uniqueCount="51">
  <si>
    <t xml:space="preserve">IRISH HOUSING MARKET — PRICE &amp; AFFORDABILITY DASHBOARD</t>
  </si>
  <si>
    <t xml:space="preserve">CSO Residential Property Price Index (HPA06) — National, Dublin &amp; Regional, 2005-2025</t>
  </si>
  <si>
    <t xml:space="preserve">NATIONAL INDEX 2025 (Jan05=100)</t>
  </si>
  <si>
    <t xml:space="preserve">FASTEST-GROWING REGION (2025 YoY)</t>
  </si>
  <si>
    <t xml:space="preserve">DUBLIN 2025 YoY GROWTH</t>
  </si>
  <si>
    <t xml:space="preserve">AFFORDABILITY GAP (pp)</t>
  </si>
  <si>
    <t xml:space="preserve">PEAK-TROUGH SWING (Nat'l, pts)</t>
  </si>
  <si>
    <t xml:space="preserve">Year</t>
  </si>
  <si>
    <t xml:space="preserve">Region</t>
  </si>
  <si>
    <t xml:space="preserve">PropertyType</t>
  </si>
  <si>
    <t xml:space="preserve">PriceIndex</t>
  </si>
  <si>
    <t xml:space="preserve">YoY_Growth_Pct</t>
  </si>
  <si>
    <t xml:space="preserve">Border (ex-Louth)</t>
  </si>
  <si>
    <t xml:space="preserve">houses</t>
  </si>
  <si>
    <t xml:space="preserve">Dublin</t>
  </si>
  <si>
    <t xml:space="preserve">all residential properties</t>
  </si>
  <si>
    <t xml:space="preserve">apartments</t>
  </si>
  <si>
    <t xml:space="preserve">Dublin City</t>
  </si>
  <si>
    <t xml:space="preserve">Dun Laoghaire-Rathdown</t>
  </si>
  <si>
    <t xml:space="preserve">Fingal</t>
  </si>
  <si>
    <t xml:space="preserve">Mid-East (incl. Louth)</t>
  </si>
  <si>
    <t xml:space="preserve">Mid-West (incl. S. Tipp)</t>
  </si>
  <si>
    <t xml:space="preserve">Midland</t>
  </si>
  <si>
    <t xml:space="preserve">National</t>
  </si>
  <si>
    <t xml:space="preserve">National ex-Dublin</t>
  </si>
  <si>
    <t xml:space="preserve">South Dublin</t>
  </si>
  <si>
    <t xml:space="preserve">South-East (ex-S. Tipp)</t>
  </si>
  <si>
    <t xml:space="preserve">South-West</t>
  </si>
  <si>
    <t xml:space="preserve">West</t>
  </si>
  <si>
    <t xml:space="preserve">2025 Index (houses)</t>
  </si>
  <si>
    <t xml:space="preserve">2025 YoY Growth %</t>
  </si>
  <si>
    <t xml:space="preserve">2020-2025 Growth %</t>
  </si>
  <si>
    <t xml:space="preserve">Dublin_Index</t>
  </si>
  <si>
    <t xml:space="preserve">RestOfCountry_Index</t>
  </si>
  <si>
    <t xml:space="preserve">National_Index</t>
  </si>
  <si>
    <t xml:space="preserve">AFFORDABILITY: House Price Growth vs. Average Weekly Earnings Growth</t>
  </si>
  <si>
    <t xml:space="preserve">Period</t>
  </si>
  <si>
    <t xml:space="preserve">Metric</t>
  </si>
  <si>
    <t xml:space="preserve">Value</t>
  </si>
  <si>
    <t xml:space="preserve">Q1 2024</t>
  </si>
  <si>
    <t xml:space="preserve">Avg. weekly earnings (CSO, all sectors)</t>
  </si>
  <si>
    <t xml:space="preserve">Q1 2025</t>
  </si>
  <si>
    <t xml:space="preserve">Q1 2026</t>
  </si>
  <si>
    <t xml:space="preserve">2023</t>
  </si>
  <si>
    <t xml:space="preserve">National house price index (houses)</t>
  </si>
  <si>
    <t xml:space="preserve">2024</t>
  </si>
  <si>
    <t xml:space="preserve">2025</t>
  </si>
  <si>
    <t xml:space="preserve">Earnings growth, Q1 2024 -&gt; Q1 2026:</t>
  </si>
  <si>
    <t xml:space="preserve">House price growth, 2023 -&gt; 2025:</t>
  </si>
  <si>
    <t xml:space="preserve">Affordability gap (price growth minus earnings growth, pp):</t>
  </si>
  <si>
    <t xml:space="preserve">Note: CSO earnings series (Earnings &amp; Labour Costs release) is only readily available for recent quarters in this project; house price index goes back to 2005. Affordability comparison uses the most recent comparable 2-year window rather than the full 20-year span.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</si>
</sst>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0.0\%"/>
    <numFmt numFmtId="167" formatCode="0.0&quot;pp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B08D57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7"/>
      <color rgb="FFB08D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B08D57"/>
      <name val="Arial"/>
      <family val="0"/>
      <charset val="1"/>
    </font>
    <font>
      <b val="true"/>
      <sz val="14"/>
      <color rgb="FFE34948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E34948"/>
      <rgbColor rgb="FF666666"/>
      <rgbColor rgb="FFB08D5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Dublin vs. Rest-of-Country Price Index, 2005-2025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Dublin_vs_Rest!B1</c:f>
              <c:strCache>
                <c:ptCount val="1"/>
                <c:pt idx="0">
                  <c:v>Dublin_Index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Dublin_vs_Rest!$A$2:$A$22</c:f>
              <c:strCach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strCache>
            </c:strRef>
          </c:cat>
          <c:val>
            <c:numRef>
              <c:f>Dublin_vs_Rest!$B$2:$B$22</c:f>
              <c:numCache>
                <c:formatCode>General</c:formatCode>
                <c:ptCount val="21"/>
                <c:pt idx="0">
                  <c:v>106.9</c:v>
                </c:pt>
                <c:pt idx="1">
                  <c:v>126.2</c:v>
                </c:pt>
                <c:pt idx="2">
                  <c:v>133.2</c:v>
                </c:pt>
                <c:pt idx="3">
                  <c:v>121</c:v>
                </c:pt>
                <c:pt idx="4">
                  <c:v>91.4</c:v>
                </c:pt>
                <c:pt idx="5">
                  <c:v>75.9</c:v>
                </c:pt>
                <c:pt idx="6">
                  <c:v>63.7</c:v>
                </c:pt>
                <c:pt idx="7">
                  <c:v>56.3</c:v>
                </c:pt>
                <c:pt idx="8">
                  <c:v>61.8</c:v>
                </c:pt>
                <c:pt idx="9">
                  <c:v>76.7</c:v>
                </c:pt>
                <c:pt idx="10">
                  <c:v>84.4</c:v>
                </c:pt>
                <c:pt idx="11">
                  <c:v>88.7</c:v>
                </c:pt>
                <c:pt idx="12">
                  <c:v>97.1</c:v>
                </c:pt>
                <c:pt idx="13">
                  <c:v>105.4</c:v>
                </c:pt>
                <c:pt idx="14">
                  <c:v>105.4</c:v>
                </c:pt>
                <c:pt idx="15">
                  <c:v>104.8</c:v>
                </c:pt>
                <c:pt idx="16">
                  <c:v>112.5</c:v>
                </c:pt>
                <c:pt idx="17">
                  <c:v>124</c:v>
                </c:pt>
                <c:pt idx="18">
                  <c:v>124.8</c:v>
                </c:pt>
                <c:pt idx="19">
                  <c:v>135.6</c:v>
                </c:pt>
                <c:pt idx="20">
                  <c:v>143.9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Dublin_vs_Rest!C1</c:f>
              <c:strCache>
                <c:ptCount val="1"/>
                <c:pt idx="0">
                  <c:v>RestOfCountry_Index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Dublin_vs_Rest!$A$2:$A$22</c:f>
              <c:strCach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strCache>
            </c:strRef>
          </c:cat>
          <c:val>
            <c:numRef>
              <c:f>Dublin_vs_Rest!$C$2:$C$22</c:f>
              <c:numCache>
                <c:formatCode>General</c:formatCode>
                <c:ptCount val="21"/>
                <c:pt idx="0">
                  <c:v>104.7</c:v>
                </c:pt>
                <c:pt idx="1">
                  <c:v>118.4</c:v>
                </c:pt>
                <c:pt idx="2">
                  <c:v>128.5</c:v>
                </c:pt>
                <c:pt idx="3">
                  <c:v>121.1</c:v>
                </c:pt>
                <c:pt idx="4">
                  <c:v>101</c:v>
                </c:pt>
                <c:pt idx="5">
                  <c:v>89</c:v>
                </c:pt>
                <c:pt idx="6">
                  <c:v>73.1</c:v>
                </c:pt>
                <c:pt idx="7">
                  <c:v>62</c:v>
                </c:pt>
                <c:pt idx="8">
                  <c:v>57.7</c:v>
                </c:pt>
                <c:pt idx="9">
                  <c:v>62.2</c:v>
                </c:pt>
                <c:pt idx="10">
                  <c:v>70.4</c:v>
                </c:pt>
                <c:pt idx="11">
                  <c:v>77.4</c:v>
                </c:pt>
                <c:pt idx="12">
                  <c:v>86.8</c:v>
                </c:pt>
                <c:pt idx="13">
                  <c:v>97.2</c:v>
                </c:pt>
                <c:pt idx="14">
                  <c:v>101.9</c:v>
                </c:pt>
                <c:pt idx="15">
                  <c:v>103</c:v>
                </c:pt>
                <c:pt idx="16">
                  <c:v>112.5</c:v>
                </c:pt>
                <c:pt idx="17">
                  <c:v>128.2</c:v>
                </c:pt>
                <c:pt idx="18">
                  <c:v>134.6</c:v>
                </c:pt>
                <c:pt idx="19">
                  <c:v>145.9</c:v>
                </c:pt>
                <c:pt idx="20">
                  <c:v>158.5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Dublin_vs_Rest!D1</c:f>
              <c:strCache>
                <c:ptCount val="1"/>
                <c:pt idx="0">
                  <c:v>National_Index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Dublin_vs_Rest!$A$2:$A$22</c:f>
              <c:strCach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strCache>
            </c:strRef>
          </c:cat>
          <c:val>
            <c:numRef>
              <c:f>Dublin_vs_Rest!$D$2:$D$22</c:f>
              <c:numCache>
                <c:formatCode>General</c:formatCode>
                <c:ptCount val="21"/>
                <c:pt idx="0">
                  <c:v>105.5</c:v>
                </c:pt>
                <c:pt idx="1">
                  <c:v>121.2</c:v>
                </c:pt>
                <c:pt idx="2">
                  <c:v>130.3</c:v>
                </c:pt>
                <c:pt idx="3">
                  <c:v>121.2</c:v>
                </c:pt>
                <c:pt idx="4">
                  <c:v>98</c:v>
                </c:pt>
                <c:pt idx="5">
                  <c:v>84.8</c:v>
                </c:pt>
                <c:pt idx="6">
                  <c:v>70.3</c:v>
                </c:pt>
                <c:pt idx="7">
                  <c:v>60.9</c:v>
                </c:pt>
                <c:pt idx="8">
                  <c:v>61.6</c:v>
                </c:pt>
                <c:pt idx="9">
                  <c:v>71.8</c:v>
                </c:pt>
                <c:pt idx="10">
                  <c:v>80.1</c:v>
                </c:pt>
                <c:pt idx="11">
                  <c:v>86</c:v>
                </c:pt>
                <c:pt idx="12">
                  <c:v>95.4</c:v>
                </c:pt>
                <c:pt idx="13">
                  <c:v>105.1</c:v>
                </c:pt>
                <c:pt idx="14">
                  <c:v>107.6</c:v>
                </c:pt>
                <c:pt idx="15">
                  <c:v>107.9</c:v>
                </c:pt>
                <c:pt idx="16">
                  <c:v>116.9</c:v>
                </c:pt>
                <c:pt idx="17">
                  <c:v>131.3</c:v>
                </c:pt>
                <c:pt idx="18">
                  <c:v>135.3</c:v>
                </c:pt>
                <c:pt idx="19">
                  <c:v>146.8</c:v>
                </c:pt>
                <c:pt idx="20">
                  <c:v>157.9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672256"/>
        <c:axId val="4701193"/>
      </c:lineChart>
      <c:catAx>
        <c:axId val="3767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01193"/>
        <c:crosses val="autoZero"/>
        <c:auto val="1"/>
        <c:lblAlgn val="ctr"/>
        <c:lblOffset val="100"/>
        <c:noMultiLvlLbl val="0"/>
      </c:catAx>
      <c:valAx>
        <c:axId val="47011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(Jan 2005 = 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722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2025 YoY Price Growth by Region (houses)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Regional_Summary_2025!C1</c:f>
              <c:strCache>
                <c:ptCount val="1"/>
                <c:pt idx="0">
                  <c:v>2025 YoY Growth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Regional_Summary_2025!$A$2:$A$15</c:f>
              <c:strCache>
                <c:ptCount val="14"/>
                <c:pt idx="0">
                  <c:v>Border (ex-Louth)</c:v>
                </c:pt>
                <c:pt idx="1">
                  <c:v>Dublin</c:v>
                </c:pt>
                <c:pt idx="2">
                  <c:v>Dublin City</c:v>
                </c:pt>
                <c:pt idx="3">
                  <c:v>Dun Laoghaire-Rathdown</c:v>
                </c:pt>
                <c:pt idx="4">
                  <c:v>Fingal</c:v>
                </c:pt>
                <c:pt idx="5">
                  <c:v>Mid-East (incl. Louth)</c:v>
                </c:pt>
                <c:pt idx="6">
                  <c:v>Mid-West (incl. S. Tipp)</c:v>
                </c:pt>
                <c:pt idx="7">
                  <c:v>Midland</c:v>
                </c:pt>
                <c:pt idx="8">
                  <c:v>National</c:v>
                </c:pt>
                <c:pt idx="9">
                  <c:v>National ex-Dublin</c:v>
                </c:pt>
                <c:pt idx="10">
                  <c:v>South Dublin</c:v>
                </c:pt>
                <c:pt idx="11">
                  <c:v>South-East (ex-S. Tipp)</c:v>
                </c:pt>
                <c:pt idx="12">
                  <c:v>South-West</c:v>
                </c:pt>
                <c:pt idx="13">
                  <c:v>West</c:v>
                </c:pt>
              </c:strCache>
            </c:strRef>
          </c:cat>
          <c:val>
            <c:numRef>
              <c:f>Regional_Summary_2025!$C$2:$C$15</c:f>
              <c:numCache>
                <c:formatCode>General</c:formatCode>
                <c:ptCount val="14"/>
                <c:pt idx="0">
                  <c:v>8.98</c:v>
                </c:pt>
                <c:pt idx="1">
                  <c:v>6.05</c:v>
                </c:pt>
                <c:pt idx="2">
                  <c:v>6.75</c:v>
                </c:pt>
                <c:pt idx="3">
                  <c:v>5.07</c:v>
                </c:pt>
                <c:pt idx="4">
                  <c:v>6.72</c:v>
                </c:pt>
                <c:pt idx="5">
                  <c:v>7.75</c:v>
                </c:pt>
                <c:pt idx="6">
                  <c:v>10.14</c:v>
                </c:pt>
                <c:pt idx="7">
                  <c:v>11.76</c:v>
                </c:pt>
                <c:pt idx="8">
                  <c:v>7.67</c:v>
                </c:pt>
                <c:pt idx="9">
                  <c:v>8.72</c:v>
                </c:pt>
                <c:pt idx="10">
                  <c:v>5.82</c:v>
                </c:pt>
                <c:pt idx="11">
                  <c:v>7.66</c:v>
                </c:pt>
                <c:pt idx="12">
                  <c:v>8.95</c:v>
                </c:pt>
                <c:pt idx="13">
                  <c:v>8.44</c:v>
                </c:pt>
              </c:numCache>
            </c:numRef>
          </c:val>
        </c:ser>
        <c:gapWidth val="150"/>
        <c:overlap val="0"/>
        <c:axId val="39258102"/>
        <c:axId val="9606128"/>
      </c:barChart>
      <c:catAx>
        <c:axId val="392581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6128"/>
        <c:crosses val="autoZero"/>
        <c:auto val="1"/>
        <c:lblAlgn val="ctr"/>
        <c:lblOffset val="100"/>
        <c:noMultiLvlLbl val="0"/>
      </c:catAx>
      <c:valAx>
        <c:axId val="9606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YoY 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581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7560</xdr:rowOff>
    </xdr:from>
    <xdr:to>
      <xdr:col>9</xdr:col>
      <xdr:colOff>25200</xdr:colOff>
      <xdr:row>25</xdr:row>
      <xdr:rowOff>8640</xdr:rowOff>
    </xdr:to>
    <xdr:graphicFrame>
      <xdr:nvGraphicFramePr>
        <xdr:cNvPr id="0" name="Chart 1"/>
        <xdr:cNvGraphicFramePr/>
      </xdr:nvGraphicFramePr>
      <xdr:xfrm>
        <a:off x="986760" y="18288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7560</xdr:rowOff>
    </xdr:from>
    <xdr:to>
      <xdr:col>8</xdr:col>
      <xdr:colOff>291960</xdr:colOff>
      <xdr:row>45</xdr:row>
      <xdr:rowOff>178200</xdr:rowOff>
    </xdr:to>
    <xdr:graphicFrame>
      <xdr:nvGraphicFramePr>
        <xdr:cNvPr id="1" name="Chart 2"/>
        <xdr:cNvGraphicFramePr/>
      </xdr:nvGraphicFramePr>
      <xdr:xfrm>
        <a:off x="986760" y="54482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4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22.35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19.5" hidden="false" customHeight="true" outlineLevel="0" collapsed="false">
      <c r="B6" s="4" t="n">
        <f aca="false">Dublin_vs_Rest!D22</f>
        <v>157.9</v>
      </c>
      <c r="C6" s="4"/>
      <c r="D6" s="5" t="n">
        <f aca="false">ROUND(MAX(Regional_Summary_2025!C2:C15),1)</f>
        <v>11.8</v>
      </c>
      <c r="E6" s="5"/>
      <c r="F6" s="5" t="n">
        <f aca="false">ROUND(INDEX(Regional_Summary_2025!C2:C15,MATCH("Dublin",Regional_Summary_2025!A2:A15,0)),1)</f>
        <v>6.1</v>
      </c>
      <c r="G6" s="5"/>
      <c r="H6" s="6" t="n">
        <f aca="false">Affordability!C14</f>
        <v>6.4</v>
      </c>
      <c r="I6" s="6"/>
      <c r="J6" s="4" t="n">
        <f aca="false">100.9</f>
        <v>100.9</v>
      </c>
      <c r="K6" s="4"/>
    </row>
    <row r="7" customFormat="false" ht="19.5" hidden="false" customHeight="true" outlineLevel="0" collapsed="false">
      <c r="B7" s="4"/>
      <c r="C7" s="4"/>
      <c r="D7" s="5"/>
      <c r="E7" s="5"/>
      <c r="F7" s="5"/>
      <c r="G7" s="5"/>
      <c r="H7" s="6"/>
      <c r="I7" s="6"/>
      <c r="J7" s="4"/>
      <c r="K7" s="4"/>
    </row>
  </sheetData>
  <mergeCells count="12">
    <mergeCell ref="B2:K2"/>
    <mergeCell ref="B3:K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</cols>
  <sheetData>
    <row r="1" customFormat="false" ht="15" hidden="false" customHeight="false" outlineLevel="0" collapsed="false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</row>
    <row r="2" customFormat="false" ht="15" hidden="false" customHeight="false" outlineLevel="0" collapsed="false">
      <c r="A2" s="0" t="n">
        <v>2010</v>
      </c>
      <c r="B2" s="0" t="s">
        <v>12</v>
      </c>
      <c r="C2" s="0" t="s">
        <v>13</v>
      </c>
      <c r="D2" s="0" t="n">
        <v>89.3</v>
      </c>
    </row>
    <row r="3" customFormat="false" ht="15" hidden="false" customHeight="false" outlineLevel="0" collapsed="false">
      <c r="A3" s="0" t="n">
        <v>2011</v>
      </c>
      <c r="B3" s="0" t="s">
        <v>12</v>
      </c>
      <c r="C3" s="0" t="s">
        <v>13</v>
      </c>
      <c r="D3" s="0" t="n">
        <v>74.8</v>
      </c>
      <c r="E3" s="0" t="n">
        <v>-16.24</v>
      </c>
    </row>
    <row r="4" customFormat="false" ht="15" hidden="false" customHeight="false" outlineLevel="0" collapsed="false">
      <c r="A4" s="0" t="n">
        <v>2012</v>
      </c>
      <c r="B4" s="0" t="s">
        <v>12</v>
      </c>
      <c r="C4" s="0" t="s">
        <v>13</v>
      </c>
      <c r="D4" s="0" t="n">
        <v>59.3</v>
      </c>
      <c r="E4" s="0" t="n">
        <v>-20.72</v>
      </c>
    </row>
    <row r="5" customFormat="false" ht="15" hidden="false" customHeight="false" outlineLevel="0" collapsed="false">
      <c r="A5" s="0" t="n">
        <v>2013</v>
      </c>
      <c r="B5" s="0" t="s">
        <v>12</v>
      </c>
      <c r="C5" s="0" t="s">
        <v>13</v>
      </c>
      <c r="D5" s="0" t="n">
        <v>50.3</v>
      </c>
      <c r="E5" s="0" t="n">
        <v>-15.18</v>
      </c>
    </row>
    <row r="6" customFormat="false" ht="15" hidden="false" customHeight="false" outlineLevel="0" collapsed="false">
      <c r="A6" s="0" t="n">
        <v>2014</v>
      </c>
      <c r="B6" s="0" t="s">
        <v>12</v>
      </c>
      <c r="C6" s="0" t="s">
        <v>13</v>
      </c>
      <c r="D6" s="0" t="n">
        <v>50.6</v>
      </c>
      <c r="E6" s="0" t="n">
        <v>0.6</v>
      </c>
    </row>
    <row r="7" customFormat="false" ht="15" hidden="false" customHeight="false" outlineLevel="0" collapsed="false">
      <c r="A7" s="0" t="n">
        <v>2015</v>
      </c>
      <c r="B7" s="0" t="s">
        <v>12</v>
      </c>
      <c r="C7" s="0" t="s">
        <v>13</v>
      </c>
      <c r="D7" s="0" t="n">
        <v>56.2</v>
      </c>
      <c r="E7" s="0" t="n">
        <v>11.07</v>
      </c>
    </row>
    <row r="8" customFormat="false" ht="15" hidden="false" customHeight="false" outlineLevel="0" collapsed="false">
      <c r="A8" s="0" t="n">
        <v>2016</v>
      </c>
      <c r="B8" s="0" t="s">
        <v>12</v>
      </c>
      <c r="C8" s="0" t="s">
        <v>13</v>
      </c>
      <c r="D8" s="0" t="n">
        <v>61.3</v>
      </c>
      <c r="E8" s="0" t="n">
        <v>9.07</v>
      </c>
    </row>
    <row r="9" customFormat="false" ht="15" hidden="false" customHeight="false" outlineLevel="0" collapsed="false">
      <c r="A9" s="0" t="n">
        <v>2017</v>
      </c>
      <c r="B9" s="0" t="s">
        <v>12</v>
      </c>
      <c r="C9" s="0" t="s">
        <v>13</v>
      </c>
      <c r="D9" s="0" t="n">
        <v>67.9</v>
      </c>
      <c r="E9" s="0" t="n">
        <v>10.77</v>
      </c>
    </row>
    <row r="10" customFormat="false" ht="15" hidden="false" customHeight="false" outlineLevel="0" collapsed="false">
      <c r="A10" s="0" t="n">
        <v>2018</v>
      </c>
      <c r="B10" s="0" t="s">
        <v>12</v>
      </c>
      <c r="C10" s="0" t="s">
        <v>13</v>
      </c>
      <c r="D10" s="0" t="n">
        <v>72.7</v>
      </c>
      <c r="E10" s="0" t="n">
        <v>7.07</v>
      </c>
    </row>
    <row r="11" customFormat="false" ht="15" hidden="false" customHeight="false" outlineLevel="0" collapsed="false">
      <c r="A11" s="0" t="n">
        <v>2019</v>
      </c>
      <c r="B11" s="0" t="s">
        <v>12</v>
      </c>
      <c r="C11" s="0" t="s">
        <v>13</v>
      </c>
      <c r="D11" s="0" t="n">
        <v>80</v>
      </c>
      <c r="E11" s="0" t="n">
        <v>10.04</v>
      </c>
    </row>
    <row r="12" customFormat="false" ht="15" hidden="false" customHeight="false" outlineLevel="0" collapsed="false">
      <c r="A12" s="0" t="n">
        <v>2020</v>
      </c>
      <c r="B12" s="0" t="s">
        <v>12</v>
      </c>
      <c r="C12" s="0" t="s">
        <v>13</v>
      </c>
      <c r="D12" s="0" t="n">
        <v>80.3</v>
      </c>
      <c r="E12" s="0" t="n">
        <v>0.37</v>
      </c>
    </row>
    <row r="13" customFormat="false" ht="15" hidden="false" customHeight="false" outlineLevel="0" collapsed="false">
      <c r="A13" s="0" t="n">
        <v>2021</v>
      </c>
      <c r="B13" s="0" t="s">
        <v>12</v>
      </c>
      <c r="C13" s="0" t="s">
        <v>13</v>
      </c>
      <c r="D13" s="0" t="n">
        <v>91.3</v>
      </c>
      <c r="E13" s="0" t="n">
        <v>13.7</v>
      </c>
    </row>
    <row r="14" customFormat="false" ht="15" hidden="false" customHeight="false" outlineLevel="0" collapsed="false">
      <c r="A14" s="0" t="n">
        <v>2022</v>
      </c>
      <c r="B14" s="0" t="s">
        <v>12</v>
      </c>
      <c r="C14" s="0" t="s">
        <v>13</v>
      </c>
      <c r="D14" s="0" t="n">
        <v>107.7</v>
      </c>
      <c r="E14" s="0" t="n">
        <v>17.96</v>
      </c>
    </row>
    <row r="15" customFormat="false" ht="15" hidden="false" customHeight="false" outlineLevel="0" collapsed="false">
      <c r="A15" s="0" t="n">
        <v>2023</v>
      </c>
      <c r="B15" s="0" t="s">
        <v>12</v>
      </c>
      <c r="C15" s="0" t="s">
        <v>13</v>
      </c>
      <c r="D15" s="0" t="n">
        <v>113</v>
      </c>
      <c r="E15" s="0" t="n">
        <v>4.92</v>
      </c>
    </row>
    <row r="16" customFormat="false" ht="15" hidden="false" customHeight="false" outlineLevel="0" collapsed="false">
      <c r="A16" s="0" t="n">
        <v>2024</v>
      </c>
      <c r="B16" s="0" t="s">
        <v>12</v>
      </c>
      <c r="C16" s="0" t="s">
        <v>13</v>
      </c>
      <c r="D16" s="0" t="n">
        <v>123.6</v>
      </c>
      <c r="E16" s="0" t="n">
        <v>9.38</v>
      </c>
    </row>
    <row r="17" customFormat="false" ht="15" hidden="false" customHeight="false" outlineLevel="0" collapsed="false">
      <c r="A17" s="0" t="n">
        <v>2025</v>
      </c>
      <c r="B17" s="0" t="s">
        <v>12</v>
      </c>
      <c r="C17" s="0" t="s">
        <v>13</v>
      </c>
      <c r="D17" s="0" t="n">
        <v>134.7</v>
      </c>
      <c r="E17" s="0" t="n">
        <v>8.98</v>
      </c>
    </row>
    <row r="18" customFormat="false" ht="15" hidden="false" customHeight="false" outlineLevel="0" collapsed="false">
      <c r="A18" s="0" t="n">
        <v>2005</v>
      </c>
      <c r="B18" s="0" t="s">
        <v>14</v>
      </c>
      <c r="C18" s="0" t="s">
        <v>15</v>
      </c>
      <c r="D18" s="0" t="n">
        <v>106.9</v>
      </c>
    </row>
    <row r="19" customFormat="false" ht="15" hidden="false" customHeight="false" outlineLevel="0" collapsed="false">
      <c r="A19" s="0" t="n">
        <v>2006</v>
      </c>
      <c r="B19" s="0" t="s">
        <v>14</v>
      </c>
      <c r="C19" s="0" t="s">
        <v>15</v>
      </c>
      <c r="D19" s="0" t="n">
        <v>126.2</v>
      </c>
      <c r="E19" s="0" t="n">
        <v>18.05</v>
      </c>
    </row>
    <row r="20" customFormat="false" ht="15" hidden="false" customHeight="false" outlineLevel="0" collapsed="false">
      <c r="A20" s="0" t="n">
        <v>2007</v>
      </c>
      <c r="B20" s="0" t="s">
        <v>14</v>
      </c>
      <c r="C20" s="0" t="s">
        <v>15</v>
      </c>
      <c r="D20" s="0" t="n">
        <v>133.2</v>
      </c>
      <c r="E20" s="0" t="n">
        <v>5.55</v>
      </c>
    </row>
    <row r="21" customFormat="false" ht="15" hidden="false" customHeight="false" outlineLevel="0" collapsed="false">
      <c r="A21" s="0" t="n">
        <v>2008</v>
      </c>
      <c r="B21" s="0" t="s">
        <v>14</v>
      </c>
      <c r="C21" s="0" t="s">
        <v>15</v>
      </c>
      <c r="D21" s="0" t="n">
        <v>121</v>
      </c>
      <c r="E21" s="0" t="n">
        <v>-9.16</v>
      </c>
    </row>
    <row r="22" customFormat="false" ht="15" hidden="false" customHeight="false" outlineLevel="0" collapsed="false">
      <c r="A22" s="0" t="n">
        <v>2009</v>
      </c>
      <c r="B22" s="0" t="s">
        <v>14</v>
      </c>
      <c r="C22" s="0" t="s">
        <v>15</v>
      </c>
      <c r="D22" s="0" t="n">
        <v>91.4</v>
      </c>
      <c r="E22" s="0" t="n">
        <v>-24.46</v>
      </c>
    </row>
    <row r="23" customFormat="false" ht="15" hidden="false" customHeight="false" outlineLevel="0" collapsed="false">
      <c r="A23" s="0" t="n">
        <v>2010</v>
      </c>
      <c r="B23" s="0" t="s">
        <v>14</v>
      </c>
      <c r="C23" s="0" t="s">
        <v>15</v>
      </c>
      <c r="D23" s="0" t="n">
        <v>75.9</v>
      </c>
      <c r="E23" s="0" t="n">
        <v>-16.96</v>
      </c>
    </row>
    <row r="24" customFormat="false" ht="15" hidden="false" customHeight="false" outlineLevel="0" collapsed="false">
      <c r="A24" s="0" t="n">
        <v>2011</v>
      </c>
      <c r="B24" s="0" t="s">
        <v>14</v>
      </c>
      <c r="C24" s="0" t="s">
        <v>15</v>
      </c>
      <c r="D24" s="0" t="n">
        <v>63.7</v>
      </c>
      <c r="E24" s="0" t="n">
        <v>-16.07</v>
      </c>
    </row>
    <row r="25" customFormat="false" ht="15" hidden="false" customHeight="false" outlineLevel="0" collapsed="false">
      <c r="A25" s="0" t="n">
        <v>2012</v>
      </c>
      <c r="B25" s="0" t="s">
        <v>14</v>
      </c>
      <c r="C25" s="0" t="s">
        <v>15</v>
      </c>
      <c r="D25" s="0" t="n">
        <v>56.3</v>
      </c>
      <c r="E25" s="0" t="n">
        <v>-11.62</v>
      </c>
    </row>
    <row r="26" customFormat="false" ht="15" hidden="false" customHeight="false" outlineLevel="0" collapsed="false">
      <c r="A26" s="0" t="n">
        <v>2013</v>
      </c>
      <c r="B26" s="0" t="s">
        <v>14</v>
      </c>
      <c r="C26" s="0" t="s">
        <v>15</v>
      </c>
      <c r="D26" s="0" t="n">
        <v>61.8</v>
      </c>
      <c r="E26" s="0" t="n">
        <v>9.77</v>
      </c>
    </row>
    <row r="27" customFormat="false" ht="15" hidden="false" customHeight="false" outlineLevel="0" collapsed="false">
      <c r="A27" s="0" t="n">
        <v>2014</v>
      </c>
      <c r="B27" s="0" t="s">
        <v>14</v>
      </c>
      <c r="C27" s="0" t="s">
        <v>15</v>
      </c>
      <c r="D27" s="0" t="n">
        <v>76.7</v>
      </c>
      <c r="E27" s="0" t="n">
        <v>24.11</v>
      </c>
    </row>
    <row r="28" customFormat="false" ht="15" hidden="false" customHeight="false" outlineLevel="0" collapsed="false">
      <c r="A28" s="0" t="n">
        <v>2015</v>
      </c>
      <c r="B28" s="0" t="s">
        <v>14</v>
      </c>
      <c r="C28" s="0" t="s">
        <v>15</v>
      </c>
      <c r="D28" s="0" t="n">
        <v>84.4</v>
      </c>
      <c r="E28" s="0" t="n">
        <v>10.04</v>
      </c>
    </row>
    <row r="29" customFormat="false" ht="15" hidden="false" customHeight="false" outlineLevel="0" collapsed="false">
      <c r="A29" s="0" t="n">
        <v>2016</v>
      </c>
      <c r="B29" s="0" t="s">
        <v>14</v>
      </c>
      <c r="C29" s="0" t="s">
        <v>15</v>
      </c>
      <c r="D29" s="0" t="n">
        <v>88.7</v>
      </c>
      <c r="E29" s="0" t="n">
        <v>5.09</v>
      </c>
    </row>
    <row r="30" customFormat="false" ht="15" hidden="false" customHeight="false" outlineLevel="0" collapsed="false">
      <c r="A30" s="0" t="n">
        <v>2017</v>
      </c>
      <c r="B30" s="0" t="s">
        <v>14</v>
      </c>
      <c r="C30" s="0" t="s">
        <v>15</v>
      </c>
      <c r="D30" s="0" t="n">
        <v>97.1</v>
      </c>
      <c r="E30" s="0" t="n">
        <v>9.47</v>
      </c>
    </row>
    <row r="31" customFormat="false" ht="15" hidden="false" customHeight="false" outlineLevel="0" collapsed="false">
      <c r="A31" s="0" t="n">
        <v>2018</v>
      </c>
      <c r="B31" s="0" t="s">
        <v>14</v>
      </c>
      <c r="C31" s="0" t="s">
        <v>15</v>
      </c>
      <c r="D31" s="0" t="n">
        <v>105.4</v>
      </c>
      <c r="E31" s="0" t="n">
        <v>8.55</v>
      </c>
    </row>
    <row r="32" customFormat="false" ht="15" hidden="false" customHeight="false" outlineLevel="0" collapsed="false">
      <c r="A32" s="0" t="n">
        <v>2019</v>
      </c>
      <c r="B32" s="0" t="s">
        <v>14</v>
      </c>
      <c r="C32" s="0" t="s">
        <v>15</v>
      </c>
      <c r="D32" s="0" t="n">
        <v>105.4</v>
      </c>
      <c r="E32" s="0" t="n">
        <v>0</v>
      </c>
    </row>
    <row r="33" customFormat="false" ht="15" hidden="false" customHeight="false" outlineLevel="0" collapsed="false">
      <c r="A33" s="0" t="n">
        <v>2020</v>
      </c>
      <c r="B33" s="0" t="s">
        <v>14</v>
      </c>
      <c r="C33" s="0" t="s">
        <v>15</v>
      </c>
      <c r="D33" s="0" t="n">
        <v>104.8</v>
      </c>
      <c r="E33" s="0" t="n">
        <v>-0.57</v>
      </c>
    </row>
    <row r="34" customFormat="false" ht="15" hidden="false" customHeight="false" outlineLevel="0" collapsed="false">
      <c r="A34" s="0" t="n">
        <v>2021</v>
      </c>
      <c r="B34" s="0" t="s">
        <v>14</v>
      </c>
      <c r="C34" s="0" t="s">
        <v>15</v>
      </c>
      <c r="D34" s="0" t="n">
        <v>112.5</v>
      </c>
      <c r="E34" s="0" t="n">
        <v>7.35</v>
      </c>
    </row>
    <row r="35" customFormat="false" ht="15" hidden="false" customHeight="false" outlineLevel="0" collapsed="false">
      <c r="A35" s="0" t="n">
        <v>2022</v>
      </c>
      <c r="B35" s="0" t="s">
        <v>14</v>
      </c>
      <c r="C35" s="0" t="s">
        <v>15</v>
      </c>
      <c r="D35" s="0" t="n">
        <v>124</v>
      </c>
      <c r="E35" s="0" t="n">
        <v>10.22</v>
      </c>
    </row>
    <row r="36" customFormat="false" ht="15" hidden="false" customHeight="false" outlineLevel="0" collapsed="false">
      <c r="A36" s="0" t="n">
        <v>2023</v>
      </c>
      <c r="B36" s="0" t="s">
        <v>14</v>
      </c>
      <c r="C36" s="0" t="s">
        <v>15</v>
      </c>
      <c r="D36" s="0" t="n">
        <v>124.8</v>
      </c>
      <c r="E36" s="0" t="n">
        <v>0.65</v>
      </c>
    </row>
    <row r="37" customFormat="false" ht="15" hidden="false" customHeight="false" outlineLevel="0" collapsed="false">
      <c r="A37" s="0" t="n">
        <v>2024</v>
      </c>
      <c r="B37" s="0" t="s">
        <v>14</v>
      </c>
      <c r="C37" s="0" t="s">
        <v>15</v>
      </c>
      <c r="D37" s="0" t="n">
        <v>135.6</v>
      </c>
      <c r="E37" s="0" t="n">
        <v>8.65</v>
      </c>
    </row>
    <row r="38" customFormat="false" ht="15" hidden="false" customHeight="false" outlineLevel="0" collapsed="false">
      <c r="A38" s="0" t="n">
        <v>2025</v>
      </c>
      <c r="B38" s="0" t="s">
        <v>14</v>
      </c>
      <c r="C38" s="0" t="s">
        <v>15</v>
      </c>
      <c r="D38" s="0" t="n">
        <v>143.9</v>
      </c>
      <c r="E38" s="0" t="n">
        <v>6.12</v>
      </c>
    </row>
    <row r="39" customFormat="false" ht="15" hidden="false" customHeight="false" outlineLevel="0" collapsed="false">
      <c r="A39" s="0" t="n">
        <v>2005</v>
      </c>
      <c r="B39" s="0" t="s">
        <v>14</v>
      </c>
      <c r="C39" s="0" t="s">
        <v>16</v>
      </c>
      <c r="D39" s="0" t="n">
        <v>105.3</v>
      </c>
    </row>
    <row r="40" customFormat="false" ht="15" hidden="false" customHeight="false" outlineLevel="0" collapsed="false">
      <c r="A40" s="0" t="n">
        <v>2006</v>
      </c>
      <c r="B40" s="0" t="s">
        <v>14</v>
      </c>
      <c r="C40" s="0" t="s">
        <v>16</v>
      </c>
      <c r="D40" s="0" t="n">
        <v>118.9</v>
      </c>
      <c r="E40" s="0" t="n">
        <v>12.92</v>
      </c>
    </row>
    <row r="41" customFormat="false" ht="15" hidden="false" customHeight="false" outlineLevel="0" collapsed="false">
      <c r="A41" s="0" t="n">
        <v>2007</v>
      </c>
      <c r="B41" s="0" t="s">
        <v>14</v>
      </c>
      <c r="C41" s="0" t="s">
        <v>16</v>
      </c>
      <c r="D41" s="0" t="n">
        <v>124.2</v>
      </c>
      <c r="E41" s="0" t="n">
        <v>4.46</v>
      </c>
    </row>
    <row r="42" customFormat="false" ht="15" hidden="false" customHeight="false" outlineLevel="0" collapsed="false">
      <c r="A42" s="0" t="n">
        <v>2008</v>
      </c>
      <c r="B42" s="0" t="s">
        <v>14</v>
      </c>
      <c r="C42" s="0" t="s">
        <v>16</v>
      </c>
      <c r="D42" s="0" t="n">
        <v>111.8</v>
      </c>
      <c r="E42" s="0" t="n">
        <v>-9.98</v>
      </c>
    </row>
    <row r="43" customFormat="false" ht="15" hidden="false" customHeight="false" outlineLevel="0" collapsed="false">
      <c r="A43" s="0" t="n">
        <v>2009</v>
      </c>
      <c r="B43" s="0" t="s">
        <v>14</v>
      </c>
      <c r="C43" s="0" t="s">
        <v>16</v>
      </c>
      <c r="D43" s="0" t="n">
        <v>81.3</v>
      </c>
      <c r="E43" s="0" t="n">
        <v>-27.28</v>
      </c>
    </row>
    <row r="44" customFormat="false" ht="15" hidden="false" customHeight="false" outlineLevel="0" collapsed="false">
      <c r="A44" s="0" t="n">
        <v>2010</v>
      </c>
      <c r="B44" s="0" t="s">
        <v>14</v>
      </c>
      <c r="C44" s="0" t="s">
        <v>16</v>
      </c>
      <c r="D44" s="0" t="n">
        <v>67</v>
      </c>
      <c r="E44" s="0" t="n">
        <v>-17.59</v>
      </c>
    </row>
    <row r="45" customFormat="false" ht="15" hidden="false" customHeight="false" outlineLevel="0" collapsed="false">
      <c r="A45" s="0" t="n">
        <v>2011</v>
      </c>
      <c r="B45" s="0" t="s">
        <v>14</v>
      </c>
      <c r="C45" s="0" t="s">
        <v>16</v>
      </c>
      <c r="D45" s="0" t="n">
        <v>56.9</v>
      </c>
      <c r="E45" s="0" t="n">
        <v>-15.07</v>
      </c>
    </row>
    <row r="46" customFormat="false" ht="15" hidden="false" customHeight="false" outlineLevel="0" collapsed="false">
      <c r="A46" s="0" t="n">
        <v>2012</v>
      </c>
      <c r="B46" s="0" t="s">
        <v>14</v>
      </c>
      <c r="C46" s="0" t="s">
        <v>16</v>
      </c>
      <c r="D46" s="0" t="n">
        <v>47.1</v>
      </c>
      <c r="E46" s="0" t="n">
        <v>-17.22</v>
      </c>
    </row>
    <row r="47" customFormat="false" ht="15" hidden="false" customHeight="false" outlineLevel="0" collapsed="false">
      <c r="A47" s="0" t="n">
        <v>2013</v>
      </c>
      <c r="B47" s="0" t="s">
        <v>14</v>
      </c>
      <c r="C47" s="0" t="s">
        <v>16</v>
      </c>
      <c r="D47" s="0" t="n">
        <v>49.4</v>
      </c>
      <c r="E47" s="0" t="n">
        <v>4.88</v>
      </c>
    </row>
    <row r="48" customFormat="false" ht="15" hidden="false" customHeight="false" outlineLevel="0" collapsed="false">
      <c r="A48" s="0" t="n">
        <v>2014</v>
      </c>
      <c r="B48" s="0" t="s">
        <v>14</v>
      </c>
      <c r="C48" s="0" t="s">
        <v>16</v>
      </c>
      <c r="D48" s="0" t="n">
        <v>62.2</v>
      </c>
      <c r="E48" s="0" t="n">
        <v>25.91</v>
      </c>
    </row>
    <row r="49" customFormat="false" ht="15" hidden="false" customHeight="false" outlineLevel="0" collapsed="false">
      <c r="A49" s="0" t="n">
        <v>2015</v>
      </c>
      <c r="B49" s="0" t="s">
        <v>14</v>
      </c>
      <c r="C49" s="0" t="s">
        <v>16</v>
      </c>
      <c r="D49" s="0" t="n">
        <v>69.5</v>
      </c>
      <c r="E49" s="0" t="n">
        <v>11.74</v>
      </c>
    </row>
    <row r="50" customFormat="false" ht="15" hidden="false" customHeight="false" outlineLevel="0" collapsed="false">
      <c r="A50" s="0" t="n">
        <v>2016</v>
      </c>
      <c r="B50" s="0" t="s">
        <v>14</v>
      </c>
      <c r="C50" s="0" t="s">
        <v>16</v>
      </c>
      <c r="D50" s="0" t="n">
        <v>73.7</v>
      </c>
      <c r="E50" s="0" t="n">
        <v>6.04</v>
      </c>
    </row>
    <row r="51" customFormat="false" ht="15" hidden="false" customHeight="false" outlineLevel="0" collapsed="false">
      <c r="A51" s="0" t="n">
        <v>2017</v>
      </c>
      <c r="B51" s="0" t="s">
        <v>14</v>
      </c>
      <c r="C51" s="0" t="s">
        <v>16</v>
      </c>
      <c r="D51" s="0" t="n">
        <v>80.9</v>
      </c>
      <c r="E51" s="0" t="n">
        <v>9.77</v>
      </c>
    </row>
    <row r="52" customFormat="false" ht="15" hidden="false" customHeight="false" outlineLevel="0" collapsed="false">
      <c r="A52" s="0" t="n">
        <v>2018</v>
      </c>
      <c r="B52" s="0" t="s">
        <v>14</v>
      </c>
      <c r="C52" s="0" t="s">
        <v>16</v>
      </c>
      <c r="D52" s="0" t="n">
        <v>89.5</v>
      </c>
      <c r="E52" s="0" t="n">
        <v>10.63</v>
      </c>
    </row>
    <row r="53" customFormat="false" ht="15" hidden="false" customHeight="false" outlineLevel="0" collapsed="false">
      <c r="A53" s="0" t="n">
        <v>2019</v>
      </c>
      <c r="B53" s="0" t="s">
        <v>14</v>
      </c>
      <c r="C53" s="0" t="s">
        <v>16</v>
      </c>
      <c r="D53" s="0" t="n">
        <v>89.8</v>
      </c>
      <c r="E53" s="0" t="n">
        <v>0.34</v>
      </c>
    </row>
    <row r="54" customFormat="false" ht="15" hidden="false" customHeight="false" outlineLevel="0" collapsed="false">
      <c r="A54" s="0" t="n">
        <v>2020</v>
      </c>
      <c r="B54" s="0" t="s">
        <v>14</v>
      </c>
      <c r="C54" s="0" t="s">
        <v>16</v>
      </c>
      <c r="D54" s="0" t="n">
        <v>90.6</v>
      </c>
      <c r="E54" s="0" t="n">
        <v>0.89</v>
      </c>
    </row>
    <row r="55" customFormat="false" ht="15" hidden="false" customHeight="false" outlineLevel="0" collapsed="false">
      <c r="A55" s="0" t="n">
        <v>2021</v>
      </c>
      <c r="B55" s="0" t="s">
        <v>14</v>
      </c>
      <c r="C55" s="0" t="s">
        <v>16</v>
      </c>
      <c r="D55" s="0" t="n">
        <v>94.7</v>
      </c>
      <c r="E55" s="0" t="n">
        <v>4.53</v>
      </c>
    </row>
    <row r="56" customFormat="false" ht="15" hidden="false" customHeight="false" outlineLevel="0" collapsed="false">
      <c r="A56" s="0" t="n">
        <v>2022</v>
      </c>
      <c r="B56" s="0" t="s">
        <v>14</v>
      </c>
      <c r="C56" s="0" t="s">
        <v>16</v>
      </c>
      <c r="D56" s="0" t="n">
        <v>104</v>
      </c>
      <c r="E56" s="0" t="n">
        <v>9.82</v>
      </c>
    </row>
    <row r="57" customFormat="false" ht="15" hidden="false" customHeight="false" outlineLevel="0" collapsed="false">
      <c r="A57" s="0" t="n">
        <v>2023</v>
      </c>
      <c r="B57" s="0" t="s">
        <v>14</v>
      </c>
      <c r="C57" s="0" t="s">
        <v>16</v>
      </c>
      <c r="D57" s="0" t="n">
        <v>105.3</v>
      </c>
      <c r="E57" s="0" t="n">
        <v>1.25</v>
      </c>
    </row>
    <row r="58" customFormat="false" ht="15" hidden="false" customHeight="false" outlineLevel="0" collapsed="false">
      <c r="A58" s="0" t="n">
        <v>2024</v>
      </c>
      <c r="B58" s="0" t="s">
        <v>14</v>
      </c>
      <c r="C58" s="0" t="s">
        <v>16</v>
      </c>
      <c r="D58" s="0" t="n">
        <v>112.6</v>
      </c>
      <c r="E58" s="0" t="n">
        <v>6.93</v>
      </c>
    </row>
    <row r="59" customFormat="false" ht="15" hidden="false" customHeight="false" outlineLevel="0" collapsed="false">
      <c r="A59" s="0" t="n">
        <v>2025</v>
      </c>
      <c r="B59" s="0" t="s">
        <v>14</v>
      </c>
      <c r="C59" s="0" t="s">
        <v>16</v>
      </c>
      <c r="D59" s="0" t="n">
        <v>119.7</v>
      </c>
      <c r="E59" s="0" t="n">
        <v>6.31</v>
      </c>
    </row>
    <row r="60" customFormat="false" ht="15" hidden="false" customHeight="false" outlineLevel="0" collapsed="false">
      <c r="A60" s="0" t="n">
        <v>2005</v>
      </c>
      <c r="B60" s="0" t="s">
        <v>14</v>
      </c>
      <c r="C60" s="0" t="s">
        <v>13</v>
      </c>
      <c r="D60" s="0" t="n">
        <v>107.5</v>
      </c>
    </row>
    <row r="61" customFormat="false" ht="15" hidden="false" customHeight="false" outlineLevel="0" collapsed="false">
      <c r="A61" s="0" t="n">
        <v>2006</v>
      </c>
      <c r="B61" s="0" t="s">
        <v>14</v>
      </c>
      <c r="C61" s="0" t="s">
        <v>13</v>
      </c>
      <c r="D61" s="0" t="n">
        <v>128.7</v>
      </c>
      <c r="E61" s="0" t="n">
        <v>19.72</v>
      </c>
    </row>
    <row r="62" customFormat="false" ht="15" hidden="false" customHeight="false" outlineLevel="0" collapsed="false">
      <c r="A62" s="0" t="n">
        <v>2007</v>
      </c>
      <c r="B62" s="0" t="s">
        <v>14</v>
      </c>
      <c r="C62" s="0" t="s">
        <v>13</v>
      </c>
      <c r="D62" s="0" t="n">
        <v>136.3</v>
      </c>
      <c r="E62" s="0" t="n">
        <v>5.91</v>
      </c>
    </row>
    <row r="63" customFormat="false" ht="15" hidden="false" customHeight="false" outlineLevel="0" collapsed="false">
      <c r="A63" s="0" t="n">
        <v>2008</v>
      </c>
      <c r="B63" s="0" t="s">
        <v>14</v>
      </c>
      <c r="C63" s="0" t="s">
        <v>13</v>
      </c>
      <c r="D63" s="0" t="n">
        <v>125</v>
      </c>
      <c r="E63" s="0" t="n">
        <v>-8.29</v>
      </c>
    </row>
    <row r="64" customFormat="false" ht="15" hidden="false" customHeight="false" outlineLevel="0" collapsed="false">
      <c r="A64" s="0" t="n">
        <v>2009</v>
      </c>
      <c r="B64" s="0" t="s">
        <v>14</v>
      </c>
      <c r="C64" s="0" t="s">
        <v>13</v>
      </c>
      <c r="D64" s="0" t="n">
        <v>95.7</v>
      </c>
      <c r="E64" s="0" t="n">
        <v>-23.44</v>
      </c>
    </row>
    <row r="65" customFormat="false" ht="15" hidden="false" customHeight="false" outlineLevel="0" collapsed="false">
      <c r="A65" s="0" t="n">
        <v>2010</v>
      </c>
      <c r="B65" s="0" t="s">
        <v>14</v>
      </c>
      <c r="C65" s="0" t="s">
        <v>13</v>
      </c>
      <c r="D65" s="0" t="n">
        <v>79.7</v>
      </c>
      <c r="E65" s="0" t="n">
        <v>-16.72</v>
      </c>
    </row>
    <row r="66" customFormat="false" ht="15" hidden="false" customHeight="false" outlineLevel="0" collapsed="false">
      <c r="A66" s="0" t="n">
        <v>2011</v>
      </c>
      <c r="B66" s="0" t="s">
        <v>14</v>
      </c>
      <c r="C66" s="0" t="s">
        <v>13</v>
      </c>
      <c r="D66" s="0" t="n">
        <v>66.8</v>
      </c>
      <c r="E66" s="0" t="n">
        <v>-16.19</v>
      </c>
    </row>
    <row r="67" customFormat="false" ht="15" hidden="false" customHeight="false" outlineLevel="0" collapsed="false">
      <c r="A67" s="0" t="n">
        <v>2012</v>
      </c>
      <c r="B67" s="0" t="s">
        <v>14</v>
      </c>
      <c r="C67" s="0" t="s">
        <v>13</v>
      </c>
      <c r="D67" s="0" t="n">
        <v>59.5</v>
      </c>
      <c r="E67" s="0" t="n">
        <v>-10.93</v>
      </c>
    </row>
    <row r="68" customFormat="false" ht="15" hidden="false" customHeight="false" outlineLevel="0" collapsed="false">
      <c r="A68" s="0" t="n">
        <v>2013</v>
      </c>
      <c r="B68" s="0" t="s">
        <v>14</v>
      </c>
      <c r="C68" s="0" t="s">
        <v>13</v>
      </c>
      <c r="D68" s="0" t="n">
        <v>65.8</v>
      </c>
      <c r="E68" s="0" t="n">
        <v>10.59</v>
      </c>
    </row>
    <row r="69" customFormat="false" ht="15" hidden="false" customHeight="false" outlineLevel="0" collapsed="false">
      <c r="A69" s="0" t="n">
        <v>2014</v>
      </c>
      <c r="B69" s="0" t="s">
        <v>14</v>
      </c>
      <c r="C69" s="0" t="s">
        <v>13</v>
      </c>
      <c r="D69" s="0" t="n">
        <v>81.4</v>
      </c>
      <c r="E69" s="0" t="n">
        <v>23.71</v>
      </c>
    </row>
    <row r="70" customFormat="false" ht="15" hidden="false" customHeight="false" outlineLevel="0" collapsed="false">
      <c r="A70" s="0" t="n">
        <v>2015</v>
      </c>
      <c r="B70" s="0" t="s">
        <v>14</v>
      </c>
      <c r="C70" s="0" t="s">
        <v>13</v>
      </c>
      <c r="D70" s="0" t="n">
        <v>89.3</v>
      </c>
      <c r="E70" s="0" t="n">
        <v>9.71</v>
      </c>
    </row>
    <row r="71" customFormat="false" ht="15" hidden="false" customHeight="false" outlineLevel="0" collapsed="false">
      <c r="A71" s="0" t="n">
        <v>2016</v>
      </c>
      <c r="B71" s="0" t="s">
        <v>14</v>
      </c>
      <c r="C71" s="0" t="s">
        <v>13</v>
      </c>
      <c r="D71" s="0" t="n">
        <v>93.5</v>
      </c>
      <c r="E71" s="0" t="n">
        <v>4.7</v>
      </c>
    </row>
    <row r="72" customFormat="false" ht="15" hidden="false" customHeight="false" outlineLevel="0" collapsed="false">
      <c r="A72" s="0" t="n">
        <v>2017</v>
      </c>
      <c r="B72" s="0" t="s">
        <v>14</v>
      </c>
      <c r="C72" s="0" t="s">
        <v>13</v>
      </c>
      <c r="D72" s="0" t="n">
        <v>102.3</v>
      </c>
      <c r="E72" s="0" t="n">
        <v>9.41</v>
      </c>
    </row>
    <row r="73" customFormat="false" ht="15" hidden="false" customHeight="false" outlineLevel="0" collapsed="false">
      <c r="A73" s="0" t="n">
        <v>2018</v>
      </c>
      <c r="B73" s="0" t="s">
        <v>14</v>
      </c>
      <c r="C73" s="0" t="s">
        <v>13</v>
      </c>
      <c r="D73" s="0" t="n">
        <v>110.7</v>
      </c>
      <c r="E73" s="0" t="n">
        <v>8.21</v>
      </c>
    </row>
    <row r="74" customFormat="false" ht="15" hidden="false" customHeight="false" outlineLevel="0" collapsed="false">
      <c r="A74" s="0" t="n">
        <v>2019</v>
      </c>
      <c r="B74" s="0" t="s">
        <v>14</v>
      </c>
      <c r="C74" s="0" t="s">
        <v>13</v>
      </c>
      <c r="D74" s="0" t="n">
        <v>110.6</v>
      </c>
      <c r="E74" s="0" t="n">
        <v>-0.09</v>
      </c>
    </row>
    <row r="75" customFormat="false" ht="15" hidden="false" customHeight="false" outlineLevel="0" collapsed="false">
      <c r="A75" s="0" t="n">
        <v>2020</v>
      </c>
      <c r="B75" s="0" t="s">
        <v>14</v>
      </c>
      <c r="C75" s="0" t="s">
        <v>13</v>
      </c>
      <c r="D75" s="0" t="n">
        <v>110.1</v>
      </c>
      <c r="E75" s="0" t="n">
        <v>-0.45</v>
      </c>
    </row>
    <row r="76" customFormat="false" ht="15" hidden="false" customHeight="false" outlineLevel="0" collapsed="false">
      <c r="A76" s="0" t="n">
        <v>2021</v>
      </c>
      <c r="B76" s="0" t="s">
        <v>14</v>
      </c>
      <c r="C76" s="0" t="s">
        <v>13</v>
      </c>
      <c r="D76" s="0" t="n">
        <v>118.8</v>
      </c>
      <c r="E76" s="0" t="n">
        <v>7.9</v>
      </c>
    </row>
    <row r="77" customFormat="false" ht="15" hidden="false" customHeight="false" outlineLevel="0" collapsed="false">
      <c r="A77" s="0" t="n">
        <v>2022</v>
      </c>
      <c r="B77" s="0" t="s">
        <v>14</v>
      </c>
      <c r="C77" s="0" t="s">
        <v>13</v>
      </c>
      <c r="D77" s="0" t="n">
        <v>131.1</v>
      </c>
      <c r="E77" s="0" t="n">
        <v>10.35</v>
      </c>
    </row>
    <row r="78" customFormat="false" ht="15" hidden="false" customHeight="false" outlineLevel="0" collapsed="false">
      <c r="A78" s="0" t="n">
        <v>2023</v>
      </c>
      <c r="B78" s="0" t="s">
        <v>14</v>
      </c>
      <c r="C78" s="0" t="s">
        <v>13</v>
      </c>
      <c r="D78" s="0" t="n">
        <v>131.7</v>
      </c>
      <c r="E78" s="0" t="n">
        <v>0.46</v>
      </c>
    </row>
    <row r="79" customFormat="false" ht="15" hidden="false" customHeight="false" outlineLevel="0" collapsed="false">
      <c r="A79" s="0" t="n">
        <v>2024</v>
      </c>
      <c r="B79" s="0" t="s">
        <v>14</v>
      </c>
      <c r="C79" s="0" t="s">
        <v>13</v>
      </c>
      <c r="D79" s="0" t="n">
        <v>143.7</v>
      </c>
      <c r="E79" s="0" t="n">
        <v>9.11</v>
      </c>
    </row>
    <row r="80" customFormat="false" ht="15" hidden="false" customHeight="false" outlineLevel="0" collapsed="false">
      <c r="A80" s="0" t="n">
        <v>2025</v>
      </c>
      <c r="B80" s="0" t="s">
        <v>14</v>
      </c>
      <c r="C80" s="0" t="s">
        <v>13</v>
      </c>
      <c r="D80" s="0" t="n">
        <v>152.4</v>
      </c>
      <c r="E80" s="0" t="n">
        <v>6.05</v>
      </c>
    </row>
    <row r="81" customFormat="false" ht="15" hidden="false" customHeight="false" outlineLevel="0" collapsed="false">
      <c r="A81" s="0" t="n">
        <v>2010</v>
      </c>
      <c r="B81" s="0" t="s">
        <v>17</v>
      </c>
      <c r="C81" s="0" t="s">
        <v>13</v>
      </c>
      <c r="D81" s="0" t="n">
        <v>77.1</v>
      </c>
    </row>
    <row r="82" customFormat="false" ht="15" hidden="false" customHeight="false" outlineLevel="0" collapsed="false">
      <c r="A82" s="0" t="n">
        <v>2011</v>
      </c>
      <c r="B82" s="0" t="s">
        <v>17</v>
      </c>
      <c r="C82" s="0" t="s">
        <v>13</v>
      </c>
      <c r="D82" s="0" t="n">
        <v>65.6</v>
      </c>
      <c r="E82" s="0" t="n">
        <v>-14.92</v>
      </c>
    </row>
    <row r="83" customFormat="false" ht="15" hidden="false" customHeight="false" outlineLevel="0" collapsed="false">
      <c r="A83" s="0" t="n">
        <v>2012</v>
      </c>
      <c r="B83" s="0" t="s">
        <v>17</v>
      </c>
      <c r="C83" s="0" t="s">
        <v>13</v>
      </c>
      <c r="D83" s="0" t="n">
        <v>55.7</v>
      </c>
      <c r="E83" s="0" t="n">
        <v>-15.09</v>
      </c>
    </row>
    <row r="84" customFormat="false" ht="15" hidden="false" customHeight="false" outlineLevel="0" collapsed="false">
      <c r="A84" s="0" t="n">
        <v>2013</v>
      </c>
      <c r="B84" s="0" t="s">
        <v>17</v>
      </c>
      <c r="C84" s="0" t="s">
        <v>13</v>
      </c>
      <c r="D84" s="0" t="n">
        <v>62.3</v>
      </c>
      <c r="E84" s="0" t="n">
        <v>11.85</v>
      </c>
    </row>
    <row r="85" customFormat="false" ht="15" hidden="false" customHeight="false" outlineLevel="0" collapsed="false">
      <c r="A85" s="0" t="n">
        <v>2014</v>
      </c>
      <c r="B85" s="0" t="s">
        <v>17</v>
      </c>
      <c r="C85" s="0" t="s">
        <v>13</v>
      </c>
      <c r="D85" s="0" t="n">
        <v>80.5</v>
      </c>
      <c r="E85" s="0" t="n">
        <v>29.21</v>
      </c>
    </row>
    <row r="86" customFormat="false" ht="15" hidden="false" customHeight="false" outlineLevel="0" collapsed="false">
      <c r="A86" s="0" t="n">
        <v>2015</v>
      </c>
      <c r="B86" s="0" t="s">
        <v>17</v>
      </c>
      <c r="C86" s="0" t="s">
        <v>13</v>
      </c>
      <c r="D86" s="0" t="n">
        <v>90.1</v>
      </c>
      <c r="E86" s="0" t="n">
        <v>11.93</v>
      </c>
    </row>
    <row r="87" customFormat="false" ht="15" hidden="false" customHeight="false" outlineLevel="0" collapsed="false">
      <c r="A87" s="0" t="n">
        <v>2016</v>
      </c>
      <c r="B87" s="0" t="s">
        <v>17</v>
      </c>
      <c r="C87" s="0" t="s">
        <v>13</v>
      </c>
      <c r="D87" s="0" t="n">
        <v>93.2</v>
      </c>
      <c r="E87" s="0" t="n">
        <v>3.44</v>
      </c>
    </row>
    <row r="88" customFormat="false" ht="15" hidden="false" customHeight="false" outlineLevel="0" collapsed="false">
      <c r="A88" s="0" t="n">
        <v>2017</v>
      </c>
      <c r="B88" s="0" t="s">
        <v>17</v>
      </c>
      <c r="C88" s="0" t="s">
        <v>13</v>
      </c>
      <c r="D88" s="0" t="n">
        <v>103.3</v>
      </c>
      <c r="E88" s="0" t="n">
        <v>10.84</v>
      </c>
    </row>
    <row r="89" customFormat="false" ht="15" hidden="false" customHeight="false" outlineLevel="0" collapsed="false">
      <c r="A89" s="0" t="n">
        <v>2018</v>
      </c>
      <c r="B89" s="0" t="s">
        <v>17</v>
      </c>
      <c r="C89" s="0" t="s">
        <v>13</v>
      </c>
      <c r="D89" s="0" t="n">
        <v>113.5</v>
      </c>
      <c r="E89" s="0" t="n">
        <v>9.87</v>
      </c>
    </row>
    <row r="90" customFormat="false" ht="15" hidden="false" customHeight="false" outlineLevel="0" collapsed="false">
      <c r="A90" s="0" t="n">
        <v>2019</v>
      </c>
      <c r="B90" s="0" t="s">
        <v>17</v>
      </c>
      <c r="C90" s="0" t="s">
        <v>13</v>
      </c>
      <c r="D90" s="0" t="n">
        <v>113.1</v>
      </c>
      <c r="E90" s="0" t="n">
        <v>-0.35</v>
      </c>
    </row>
    <row r="91" customFormat="false" ht="15" hidden="false" customHeight="false" outlineLevel="0" collapsed="false">
      <c r="A91" s="0" t="n">
        <v>2020</v>
      </c>
      <c r="B91" s="0" t="s">
        <v>17</v>
      </c>
      <c r="C91" s="0" t="s">
        <v>13</v>
      </c>
      <c r="D91" s="0" t="n">
        <v>110.5</v>
      </c>
      <c r="E91" s="0" t="n">
        <v>-2.3</v>
      </c>
    </row>
    <row r="92" customFormat="false" ht="15" hidden="false" customHeight="false" outlineLevel="0" collapsed="false">
      <c r="A92" s="0" t="n">
        <v>2021</v>
      </c>
      <c r="B92" s="0" t="s">
        <v>17</v>
      </c>
      <c r="C92" s="0" t="s">
        <v>13</v>
      </c>
      <c r="D92" s="0" t="n">
        <v>120</v>
      </c>
      <c r="E92" s="0" t="n">
        <v>8.6</v>
      </c>
    </row>
    <row r="93" customFormat="false" ht="15" hidden="false" customHeight="false" outlineLevel="0" collapsed="false">
      <c r="A93" s="0" t="n">
        <v>2022</v>
      </c>
      <c r="B93" s="0" t="s">
        <v>17</v>
      </c>
      <c r="C93" s="0" t="s">
        <v>13</v>
      </c>
      <c r="D93" s="0" t="n">
        <v>132.7</v>
      </c>
      <c r="E93" s="0" t="n">
        <v>10.58</v>
      </c>
    </row>
    <row r="94" customFormat="false" ht="15" hidden="false" customHeight="false" outlineLevel="0" collapsed="false">
      <c r="A94" s="0" t="n">
        <v>2023</v>
      </c>
      <c r="B94" s="0" t="s">
        <v>17</v>
      </c>
      <c r="C94" s="0" t="s">
        <v>13</v>
      </c>
      <c r="D94" s="0" t="n">
        <v>130.4</v>
      </c>
      <c r="E94" s="0" t="n">
        <v>-1.73</v>
      </c>
    </row>
    <row r="95" customFormat="false" ht="15" hidden="false" customHeight="false" outlineLevel="0" collapsed="false">
      <c r="A95" s="0" t="n">
        <v>2024</v>
      </c>
      <c r="B95" s="0" t="s">
        <v>17</v>
      </c>
      <c r="C95" s="0" t="s">
        <v>13</v>
      </c>
      <c r="D95" s="0" t="n">
        <v>143.8</v>
      </c>
      <c r="E95" s="0" t="n">
        <v>10.28</v>
      </c>
    </row>
    <row r="96" customFormat="false" ht="15" hidden="false" customHeight="false" outlineLevel="0" collapsed="false">
      <c r="A96" s="0" t="n">
        <v>2025</v>
      </c>
      <c r="B96" s="0" t="s">
        <v>17</v>
      </c>
      <c r="C96" s="0" t="s">
        <v>13</v>
      </c>
      <c r="D96" s="0" t="n">
        <v>153.5</v>
      </c>
      <c r="E96" s="0" t="n">
        <v>6.75</v>
      </c>
    </row>
    <row r="97" customFormat="false" ht="15" hidden="false" customHeight="false" outlineLevel="0" collapsed="false">
      <c r="A97" s="0" t="n">
        <v>2010</v>
      </c>
      <c r="B97" s="0" t="s">
        <v>18</v>
      </c>
      <c r="C97" s="0" t="s">
        <v>13</v>
      </c>
      <c r="D97" s="0" t="n">
        <v>79.9</v>
      </c>
    </row>
    <row r="98" customFormat="false" ht="15" hidden="false" customHeight="false" outlineLevel="0" collapsed="false">
      <c r="A98" s="0" t="n">
        <v>2011</v>
      </c>
      <c r="B98" s="0" t="s">
        <v>18</v>
      </c>
      <c r="C98" s="0" t="s">
        <v>13</v>
      </c>
      <c r="D98" s="0" t="n">
        <v>64.8</v>
      </c>
      <c r="E98" s="0" t="n">
        <v>-18.9</v>
      </c>
    </row>
    <row r="99" customFormat="false" ht="15" hidden="false" customHeight="false" outlineLevel="0" collapsed="false">
      <c r="A99" s="0" t="n">
        <v>2012</v>
      </c>
      <c r="B99" s="0" t="s">
        <v>18</v>
      </c>
      <c r="C99" s="0" t="s">
        <v>13</v>
      </c>
      <c r="D99" s="0" t="n">
        <v>58.7</v>
      </c>
      <c r="E99" s="0" t="n">
        <v>-9.41</v>
      </c>
    </row>
    <row r="100" customFormat="false" ht="15" hidden="false" customHeight="false" outlineLevel="0" collapsed="false">
      <c r="A100" s="0" t="n">
        <v>2013</v>
      </c>
      <c r="B100" s="0" t="s">
        <v>18</v>
      </c>
      <c r="C100" s="0" t="s">
        <v>13</v>
      </c>
      <c r="D100" s="0" t="n">
        <v>68.9</v>
      </c>
      <c r="E100" s="0" t="n">
        <v>17.38</v>
      </c>
    </row>
    <row r="101" customFormat="false" ht="15" hidden="false" customHeight="false" outlineLevel="0" collapsed="false">
      <c r="A101" s="0" t="n">
        <v>2014</v>
      </c>
      <c r="B101" s="0" t="s">
        <v>18</v>
      </c>
      <c r="C101" s="0" t="s">
        <v>13</v>
      </c>
      <c r="D101" s="0" t="n">
        <v>83.6</v>
      </c>
      <c r="E101" s="0" t="n">
        <v>21.34</v>
      </c>
    </row>
    <row r="102" customFormat="false" ht="15" hidden="false" customHeight="false" outlineLevel="0" collapsed="false">
      <c r="A102" s="0" t="n">
        <v>2015</v>
      </c>
      <c r="B102" s="0" t="s">
        <v>18</v>
      </c>
      <c r="C102" s="0" t="s">
        <v>13</v>
      </c>
      <c r="D102" s="0" t="n">
        <v>89.1</v>
      </c>
      <c r="E102" s="0" t="n">
        <v>6.58</v>
      </c>
    </row>
    <row r="103" customFormat="false" ht="15" hidden="false" customHeight="false" outlineLevel="0" collapsed="false">
      <c r="A103" s="0" t="n">
        <v>2016</v>
      </c>
      <c r="B103" s="0" t="s">
        <v>18</v>
      </c>
      <c r="C103" s="0" t="s">
        <v>13</v>
      </c>
      <c r="D103" s="0" t="n">
        <v>94.4</v>
      </c>
      <c r="E103" s="0" t="n">
        <v>5.95</v>
      </c>
    </row>
    <row r="104" customFormat="false" ht="15" hidden="false" customHeight="false" outlineLevel="0" collapsed="false">
      <c r="A104" s="0" t="n">
        <v>2017</v>
      </c>
      <c r="B104" s="0" t="s">
        <v>18</v>
      </c>
      <c r="C104" s="0" t="s">
        <v>13</v>
      </c>
      <c r="D104" s="0" t="n">
        <v>103</v>
      </c>
      <c r="E104" s="0" t="n">
        <v>9.11</v>
      </c>
    </row>
    <row r="105" customFormat="false" ht="15" hidden="false" customHeight="false" outlineLevel="0" collapsed="false">
      <c r="A105" s="0" t="n">
        <v>2018</v>
      </c>
      <c r="B105" s="0" t="s">
        <v>18</v>
      </c>
      <c r="C105" s="0" t="s">
        <v>13</v>
      </c>
      <c r="D105" s="0" t="n">
        <v>112.2</v>
      </c>
      <c r="E105" s="0" t="n">
        <v>8.93</v>
      </c>
    </row>
    <row r="106" customFormat="false" ht="15" hidden="false" customHeight="false" outlineLevel="0" collapsed="false">
      <c r="A106" s="0" t="n">
        <v>2019</v>
      </c>
      <c r="B106" s="0" t="s">
        <v>18</v>
      </c>
      <c r="C106" s="0" t="s">
        <v>13</v>
      </c>
      <c r="D106" s="0" t="n">
        <v>108.4</v>
      </c>
      <c r="E106" s="0" t="n">
        <v>-3.39</v>
      </c>
    </row>
    <row r="107" customFormat="false" ht="15" hidden="false" customHeight="false" outlineLevel="0" collapsed="false">
      <c r="A107" s="0" t="n">
        <v>2020</v>
      </c>
      <c r="B107" s="0" t="s">
        <v>18</v>
      </c>
      <c r="C107" s="0" t="s">
        <v>13</v>
      </c>
      <c r="D107" s="0" t="n">
        <v>107.3</v>
      </c>
      <c r="E107" s="0" t="n">
        <v>-1.01</v>
      </c>
    </row>
    <row r="108" customFormat="false" ht="15" hidden="false" customHeight="false" outlineLevel="0" collapsed="false">
      <c r="A108" s="0" t="n">
        <v>2021</v>
      </c>
      <c r="B108" s="0" t="s">
        <v>18</v>
      </c>
      <c r="C108" s="0" t="s">
        <v>13</v>
      </c>
      <c r="D108" s="0" t="n">
        <v>116.6</v>
      </c>
      <c r="E108" s="0" t="n">
        <v>8.67</v>
      </c>
    </row>
    <row r="109" customFormat="false" ht="15" hidden="false" customHeight="false" outlineLevel="0" collapsed="false">
      <c r="A109" s="0" t="n">
        <v>2022</v>
      </c>
      <c r="B109" s="0" t="s">
        <v>18</v>
      </c>
      <c r="C109" s="0" t="s">
        <v>13</v>
      </c>
      <c r="D109" s="0" t="n">
        <v>127.6</v>
      </c>
      <c r="E109" s="0" t="n">
        <v>9.43</v>
      </c>
    </row>
    <row r="110" customFormat="false" ht="15" hidden="false" customHeight="false" outlineLevel="0" collapsed="false">
      <c r="A110" s="0" t="n">
        <v>2023</v>
      </c>
      <c r="B110" s="0" t="s">
        <v>18</v>
      </c>
      <c r="C110" s="0" t="s">
        <v>13</v>
      </c>
      <c r="D110" s="0" t="n">
        <v>127</v>
      </c>
      <c r="E110" s="0" t="n">
        <v>-0.47</v>
      </c>
    </row>
    <row r="111" customFormat="false" ht="15" hidden="false" customHeight="false" outlineLevel="0" collapsed="false">
      <c r="A111" s="0" t="n">
        <v>2024</v>
      </c>
      <c r="B111" s="0" t="s">
        <v>18</v>
      </c>
      <c r="C111" s="0" t="s">
        <v>13</v>
      </c>
      <c r="D111" s="0" t="n">
        <v>136.2</v>
      </c>
      <c r="E111" s="0" t="n">
        <v>7.24</v>
      </c>
    </row>
    <row r="112" customFormat="false" ht="15" hidden="false" customHeight="false" outlineLevel="0" collapsed="false">
      <c r="A112" s="0" t="n">
        <v>2025</v>
      </c>
      <c r="B112" s="0" t="s">
        <v>18</v>
      </c>
      <c r="C112" s="0" t="s">
        <v>13</v>
      </c>
      <c r="D112" s="0" t="n">
        <v>143.1</v>
      </c>
      <c r="E112" s="0" t="n">
        <v>5.07</v>
      </c>
    </row>
    <row r="113" customFormat="false" ht="15" hidden="false" customHeight="false" outlineLevel="0" collapsed="false">
      <c r="A113" s="0" t="n">
        <v>2010</v>
      </c>
      <c r="B113" s="0" t="s">
        <v>19</v>
      </c>
      <c r="C113" s="0" t="s">
        <v>13</v>
      </c>
      <c r="D113" s="0" t="n">
        <v>78.3</v>
      </c>
    </row>
    <row r="114" customFormat="false" ht="15" hidden="false" customHeight="false" outlineLevel="0" collapsed="false">
      <c r="A114" s="0" t="n">
        <v>2011</v>
      </c>
      <c r="B114" s="0" t="s">
        <v>19</v>
      </c>
      <c r="C114" s="0" t="s">
        <v>13</v>
      </c>
      <c r="D114" s="0" t="n">
        <v>69.2</v>
      </c>
      <c r="E114" s="0" t="n">
        <v>-11.62</v>
      </c>
    </row>
    <row r="115" customFormat="false" ht="15" hidden="false" customHeight="false" outlineLevel="0" collapsed="false">
      <c r="A115" s="0" t="n">
        <v>2012</v>
      </c>
      <c r="B115" s="0" t="s">
        <v>19</v>
      </c>
      <c r="C115" s="0" t="s">
        <v>13</v>
      </c>
      <c r="D115" s="0" t="n">
        <v>59.8</v>
      </c>
      <c r="E115" s="0" t="n">
        <v>-13.58</v>
      </c>
    </row>
    <row r="116" customFormat="false" ht="15" hidden="false" customHeight="false" outlineLevel="0" collapsed="false">
      <c r="A116" s="0" t="n">
        <v>2013</v>
      </c>
      <c r="B116" s="0" t="s">
        <v>19</v>
      </c>
      <c r="C116" s="0" t="s">
        <v>13</v>
      </c>
      <c r="D116" s="0" t="n">
        <v>63.3</v>
      </c>
      <c r="E116" s="0" t="n">
        <v>5.85</v>
      </c>
    </row>
    <row r="117" customFormat="false" ht="15" hidden="false" customHeight="false" outlineLevel="0" collapsed="false">
      <c r="A117" s="0" t="n">
        <v>2014</v>
      </c>
      <c r="B117" s="0" t="s">
        <v>19</v>
      </c>
      <c r="C117" s="0" t="s">
        <v>13</v>
      </c>
      <c r="D117" s="0" t="n">
        <v>74.5</v>
      </c>
      <c r="E117" s="0" t="n">
        <v>17.69</v>
      </c>
    </row>
    <row r="118" customFormat="false" ht="15" hidden="false" customHeight="false" outlineLevel="0" collapsed="false">
      <c r="A118" s="0" t="n">
        <v>2015</v>
      </c>
      <c r="B118" s="0" t="s">
        <v>19</v>
      </c>
      <c r="C118" s="0" t="s">
        <v>13</v>
      </c>
      <c r="D118" s="0" t="n">
        <v>85.9</v>
      </c>
      <c r="E118" s="0" t="n">
        <v>15.3</v>
      </c>
    </row>
    <row r="119" customFormat="false" ht="15" hidden="false" customHeight="false" outlineLevel="0" collapsed="false">
      <c r="A119" s="0" t="n">
        <v>2016</v>
      </c>
      <c r="B119" s="0" t="s">
        <v>19</v>
      </c>
      <c r="C119" s="0" t="s">
        <v>13</v>
      </c>
      <c r="D119" s="0" t="n">
        <v>88.7</v>
      </c>
      <c r="E119" s="0" t="n">
        <v>3.26</v>
      </c>
    </row>
    <row r="120" customFormat="false" ht="15" hidden="false" customHeight="false" outlineLevel="0" collapsed="false">
      <c r="A120" s="0" t="n">
        <v>2017</v>
      </c>
      <c r="B120" s="0" t="s">
        <v>19</v>
      </c>
      <c r="C120" s="0" t="s">
        <v>13</v>
      </c>
      <c r="D120" s="0" t="n">
        <v>94.5</v>
      </c>
      <c r="E120" s="0" t="n">
        <v>6.54</v>
      </c>
    </row>
    <row r="121" customFormat="false" ht="15" hidden="false" customHeight="false" outlineLevel="0" collapsed="false">
      <c r="A121" s="0" t="n">
        <v>2018</v>
      </c>
      <c r="B121" s="0" t="s">
        <v>19</v>
      </c>
      <c r="C121" s="0" t="s">
        <v>13</v>
      </c>
      <c r="D121" s="0" t="n">
        <v>102.9</v>
      </c>
      <c r="E121" s="0" t="n">
        <v>8.89</v>
      </c>
    </row>
    <row r="122" customFormat="false" ht="15" hidden="false" customHeight="false" outlineLevel="0" collapsed="false">
      <c r="A122" s="0" t="n">
        <v>2019</v>
      </c>
      <c r="B122" s="0" t="s">
        <v>19</v>
      </c>
      <c r="C122" s="0" t="s">
        <v>13</v>
      </c>
      <c r="D122" s="0" t="n">
        <v>104.4</v>
      </c>
      <c r="E122" s="0" t="n">
        <v>1.46</v>
      </c>
    </row>
    <row r="123" customFormat="false" ht="15" hidden="false" customHeight="false" outlineLevel="0" collapsed="false">
      <c r="A123" s="0" t="n">
        <v>2020</v>
      </c>
      <c r="B123" s="0" t="s">
        <v>19</v>
      </c>
      <c r="C123" s="0" t="s">
        <v>13</v>
      </c>
      <c r="D123" s="0" t="n">
        <v>106.8</v>
      </c>
      <c r="E123" s="0" t="n">
        <v>2.3</v>
      </c>
    </row>
    <row r="124" customFormat="false" ht="15" hidden="false" customHeight="false" outlineLevel="0" collapsed="false">
      <c r="A124" s="0" t="n">
        <v>2021</v>
      </c>
      <c r="B124" s="0" t="s">
        <v>19</v>
      </c>
      <c r="C124" s="0" t="s">
        <v>13</v>
      </c>
      <c r="D124" s="0" t="n">
        <v>112.7</v>
      </c>
      <c r="E124" s="0" t="n">
        <v>5.52</v>
      </c>
    </row>
    <row r="125" customFormat="false" ht="15" hidden="false" customHeight="false" outlineLevel="0" collapsed="false">
      <c r="A125" s="0" t="n">
        <v>2022</v>
      </c>
      <c r="B125" s="0" t="s">
        <v>19</v>
      </c>
      <c r="C125" s="0" t="s">
        <v>13</v>
      </c>
      <c r="D125" s="0" t="n">
        <v>124.9</v>
      </c>
      <c r="E125" s="0" t="n">
        <v>10.83</v>
      </c>
    </row>
    <row r="126" customFormat="false" ht="15" hidden="false" customHeight="false" outlineLevel="0" collapsed="false">
      <c r="A126" s="0" t="n">
        <v>2023</v>
      </c>
      <c r="B126" s="0" t="s">
        <v>19</v>
      </c>
      <c r="C126" s="0" t="s">
        <v>13</v>
      </c>
      <c r="D126" s="0" t="n">
        <v>128</v>
      </c>
      <c r="E126" s="0" t="n">
        <v>2.48</v>
      </c>
    </row>
    <row r="127" customFormat="false" ht="15" hidden="false" customHeight="false" outlineLevel="0" collapsed="false">
      <c r="A127" s="0" t="n">
        <v>2024</v>
      </c>
      <c r="B127" s="0" t="s">
        <v>19</v>
      </c>
      <c r="C127" s="0" t="s">
        <v>13</v>
      </c>
      <c r="D127" s="0" t="n">
        <v>139.9</v>
      </c>
      <c r="E127" s="0" t="n">
        <v>9.3</v>
      </c>
    </row>
    <row r="128" customFormat="false" ht="15" hidden="false" customHeight="false" outlineLevel="0" collapsed="false">
      <c r="A128" s="0" t="n">
        <v>2025</v>
      </c>
      <c r="B128" s="0" t="s">
        <v>19</v>
      </c>
      <c r="C128" s="0" t="s">
        <v>13</v>
      </c>
      <c r="D128" s="0" t="n">
        <v>149.3</v>
      </c>
      <c r="E128" s="0" t="n">
        <v>6.72</v>
      </c>
    </row>
    <row r="129" customFormat="false" ht="15" hidden="false" customHeight="false" outlineLevel="0" collapsed="false">
      <c r="A129" s="0" t="n">
        <v>2010</v>
      </c>
      <c r="B129" s="0" t="s">
        <v>20</v>
      </c>
      <c r="C129" s="0" t="s">
        <v>13</v>
      </c>
      <c r="D129" s="0" t="n">
        <v>91</v>
      </c>
    </row>
    <row r="130" customFormat="false" ht="15" hidden="false" customHeight="false" outlineLevel="0" collapsed="false">
      <c r="A130" s="0" t="n">
        <v>2011</v>
      </c>
      <c r="B130" s="0" t="s">
        <v>20</v>
      </c>
      <c r="C130" s="0" t="s">
        <v>13</v>
      </c>
      <c r="D130" s="0" t="n">
        <v>75.1</v>
      </c>
      <c r="E130" s="0" t="n">
        <v>-17.47</v>
      </c>
    </row>
    <row r="131" customFormat="false" ht="15" hidden="false" customHeight="false" outlineLevel="0" collapsed="false">
      <c r="A131" s="0" t="n">
        <v>2012</v>
      </c>
      <c r="B131" s="0" t="s">
        <v>20</v>
      </c>
      <c r="C131" s="0" t="s">
        <v>13</v>
      </c>
      <c r="D131" s="0" t="n">
        <v>62.4</v>
      </c>
      <c r="E131" s="0" t="n">
        <v>-16.91</v>
      </c>
    </row>
    <row r="132" customFormat="false" ht="15" hidden="false" customHeight="false" outlineLevel="0" collapsed="false">
      <c r="A132" s="0" t="n">
        <v>2013</v>
      </c>
      <c r="B132" s="0" t="s">
        <v>20</v>
      </c>
      <c r="C132" s="0" t="s">
        <v>13</v>
      </c>
      <c r="D132" s="0" t="n">
        <v>62.6</v>
      </c>
      <c r="E132" s="0" t="n">
        <v>0.32</v>
      </c>
    </row>
    <row r="133" customFormat="false" ht="15" hidden="false" customHeight="false" outlineLevel="0" collapsed="false">
      <c r="A133" s="0" t="n">
        <v>2014</v>
      </c>
      <c r="B133" s="0" t="s">
        <v>20</v>
      </c>
      <c r="C133" s="0" t="s">
        <v>13</v>
      </c>
      <c r="D133" s="0" t="n">
        <v>71.4</v>
      </c>
      <c r="E133" s="0" t="n">
        <v>14.06</v>
      </c>
    </row>
    <row r="134" customFormat="false" ht="15" hidden="false" customHeight="false" outlineLevel="0" collapsed="false">
      <c r="A134" s="0" t="n">
        <v>2015</v>
      </c>
      <c r="B134" s="0" t="s">
        <v>20</v>
      </c>
      <c r="C134" s="0" t="s">
        <v>13</v>
      </c>
      <c r="D134" s="0" t="n">
        <v>84.6</v>
      </c>
      <c r="E134" s="0" t="n">
        <v>18.49</v>
      </c>
    </row>
    <row r="135" customFormat="false" ht="15" hidden="false" customHeight="false" outlineLevel="0" collapsed="false">
      <c r="A135" s="0" t="n">
        <v>2016</v>
      </c>
      <c r="B135" s="0" t="s">
        <v>20</v>
      </c>
      <c r="C135" s="0" t="s">
        <v>13</v>
      </c>
      <c r="D135" s="0" t="n">
        <v>89.6</v>
      </c>
      <c r="E135" s="0" t="n">
        <v>5.91</v>
      </c>
    </row>
    <row r="136" customFormat="false" ht="15" hidden="false" customHeight="false" outlineLevel="0" collapsed="false">
      <c r="A136" s="0" t="n">
        <v>2017</v>
      </c>
      <c r="B136" s="0" t="s">
        <v>20</v>
      </c>
      <c r="C136" s="0" t="s">
        <v>13</v>
      </c>
      <c r="D136" s="0" t="n">
        <v>100.2</v>
      </c>
      <c r="E136" s="0" t="n">
        <v>11.83</v>
      </c>
    </row>
    <row r="137" customFormat="false" ht="15" hidden="false" customHeight="false" outlineLevel="0" collapsed="false">
      <c r="A137" s="0" t="n">
        <v>2018</v>
      </c>
      <c r="B137" s="0" t="s">
        <v>20</v>
      </c>
      <c r="C137" s="0" t="s">
        <v>13</v>
      </c>
      <c r="D137" s="0" t="n">
        <v>111</v>
      </c>
      <c r="E137" s="0" t="n">
        <v>10.78</v>
      </c>
    </row>
    <row r="138" customFormat="false" ht="15" hidden="false" customHeight="false" outlineLevel="0" collapsed="false">
      <c r="A138" s="0" t="n">
        <v>2019</v>
      </c>
      <c r="B138" s="0" t="s">
        <v>20</v>
      </c>
      <c r="C138" s="0" t="s">
        <v>13</v>
      </c>
      <c r="D138" s="0" t="n">
        <v>112.3</v>
      </c>
      <c r="E138" s="0" t="n">
        <v>1.17</v>
      </c>
    </row>
    <row r="139" customFormat="false" ht="15" hidden="false" customHeight="false" outlineLevel="0" collapsed="false">
      <c r="A139" s="0" t="n">
        <v>2020</v>
      </c>
      <c r="B139" s="0" t="s">
        <v>20</v>
      </c>
      <c r="C139" s="0" t="s">
        <v>13</v>
      </c>
      <c r="D139" s="0" t="n">
        <v>113.3</v>
      </c>
      <c r="E139" s="0" t="n">
        <v>0.89</v>
      </c>
    </row>
    <row r="140" customFormat="false" ht="15" hidden="false" customHeight="false" outlineLevel="0" collapsed="false">
      <c r="A140" s="0" t="n">
        <v>2021</v>
      </c>
      <c r="B140" s="0" t="s">
        <v>20</v>
      </c>
      <c r="C140" s="0" t="s">
        <v>13</v>
      </c>
      <c r="D140" s="0" t="n">
        <v>122.8</v>
      </c>
      <c r="E140" s="0" t="n">
        <v>8.38</v>
      </c>
    </row>
    <row r="141" customFormat="false" ht="15" hidden="false" customHeight="false" outlineLevel="0" collapsed="false">
      <c r="A141" s="0" t="n">
        <v>2022</v>
      </c>
      <c r="B141" s="0" t="s">
        <v>20</v>
      </c>
      <c r="C141" s="0" t="s">
        <v>13</v>
      </c>
      <c r="D141" s="0" t="n">
        <v>139.1</v>
      </c>
      <c r="E141" s="0" t="n">
        <v>13.27</v>
      </c>
    </row>
    <row r="142" customFormat="false" ht="15" hidden="false" customHeight="false" outlineLevel="0" collapsed="false">
      <c r="A142" s="0" t="n">
        <v>2023</v>
      </c>
      <c r="B142" s="0" t="s">
        <v>20</v>
      </c>
      <c r="C142" s="0" t="s">
        <v>13</v>
      </c>
      <c r="D142" s="0" t="n">
        <v>146.2</v>
      </c>
      <c r="E142" s="0" t="n">
        <v>5.1</v>
      </c>
    </row>
    <row r="143" customFormat="false" ht="15" hidden="false" customHeight="false" outlineLevel="0" collapsed="false">
      <c r="A143" s="0" t="n">
        <v>2024</v>
      </c>
      <c r="B143" s="0" t="s">
        <v>20</v>
      </c>
      <c r="C143" s="0" t="s">
        <v>13</v>
      </c>
      <c r="D143" s="0" t="n">
        <v>156.1</v>
      </c>
      <c r="E143" s="0" t="n">
        <v>6.77</v>
      </c>
    </row>
    <row r="144" customFormat="false" ht="15" hidden="false" customHeight="false" outlineLevel="0" collapsed="false">
      <c r="A144" s="0" t="n">
        <v>2025</v>
      </c>
      <c r="B144" s="0" t="s">
        <v>20</v>
      </c>
      <c r="C144" s="0" t="s">
        <v>13</v>
      </c>
      <c r="D144" s="0" t="n">
        <v>168.2</v>
      </c>
      <c r="E144" s="0" t="n">
        <v>7.75</v>
      </c>
    </row>
    <row r="145" customFormat="false" ht="15" hidden="false" customHeight="false" outlineLevel="0" collapsed="false">
      <c r="A145" s="0" t="n">
        <v>2010</v>
      </c>
      <c r="B145" s="0" t="s">
        <v>21</v>
      </c>
      <c r="C145" s="0" t="s">
        <v>13</v>
      </c>
      <c r="D145" s="0" t="n">
        <v>94.4</v>
      </c>
    </row>
    <row r="146" customFormat="false" ht="15" hidden="false" customHeight="false" outlineLevel="0" collapsed="false">
      <c r="A146" s="0" t="n">
        <v>2011</v>
      </c>
      <c r="B146" s="0" t="s">
        <v>21</v>
      </c>
      <c r="C146" s="0" t="s">
        <v>13</v>
      </c>
      <c r="D146" s="0" t="n">
        <v>77.9</v>
      </c>
      <c r="E146" s="0" t="n">
        <v>-17.48</v>
      </c>
    </row>
    <row r="147" customFormat="false" ht="15" hidden="false" customHeight="false" outlineLevel="0" collapsed="false">
      <c r="A147" s="0" t="n">
        <v>2012</v>
      </c>
      <c r="B147" s="0" t="s">
        <v>21</v>
      </c>
      <c r="C147" s="0" t="s">
        <v>13</v>
      </c>
      <c r="D147" s="0" t="n">
        <v>65.7</v>
      </c>
      <c r="E147" s="0" t="n">
        <v>-15.66</v>
      </c>
    </row>
    <row r="148" customFormat="false" ht="15" hidden="false" customHeight="false" outlineLevel="0" collapsed="false">
      <c r="A148" s="0" t="n">
        <v>2013</v>
      </c>
      <c r="B148" s="0" t="s">
        <v>21</v>
      </c>
      <c r="C148" s="0" t="s">
        <v>13</v>
      </c>
      <c r="D148" s="0" t="n">
        <v>56.1</v>
      </c>
      <c r="E148" s="0" t="n">
        <v>-14.61</v>
      </c>
    </row>
    <row r="149" customFormat="false" ht="15" hidden="false" customHeight="false" outlineLevel="0" collapsed="false">
      <c r="A149" s="0" t="n">
        <v>2014</v>
      </c>
      <c r="B149" s="0" t="s">
        <v>21</v>
      </c>
      <c r="C149" s="0" t="s">
        <v>13</v>
      </c>
      <c r="D149" s="0" t="n">
        <v>57.1</v>
      </c>
      <c r="E149" s="0" t="n">
        <v>1.78</v>
      </c>
    </row>
    <row r="150" customFormat="false" ht="15" hidden="false" customHeight="false" outlineLevel="0" collapsed="false">
      <c r="A150" s="0" t="n">
        <v>2015</v>
      </c>
      <c r="B150" s="0" t="s">
        <v>21</v>
      </c>
      <c r="C150" s="0" t="s">
        <v>13</v>
      </c>
      <c r="D150" s="0" t="n">
        <v>63.4</v>
      </c>
      <c r="E150" s="0" t="n">
        <v>11.03</v>
      </c>
    </row>
    <row r="151" customFormat="false" ht="15" hidden="false" customHeight="false" outlineLevel="0" collapsed="false">
      <c r="A151" s="0" t="n">
        <v>2016</v>
      </c>
      <c r="B151" s="0" t="s">
        <v>21</v>
      </c>
      <c r="C151" s="0" t="s">
        <v>13</v>
      </c>
      <c r="D151" s="0" t="n">
        <v>69.1</v>
      </c>
      <c r="E151" s="0" t="n">
        <v>8.99</v>
      </c>
    </row>
    <row r="152" customFormat="false" ht="15" hidden="false" customHeight="false" outlineLevel="0" collapsed="false">
      <c r="A152" s="0" t="n">
        <v>2017</v>
      </c>
      <c r="B152" s="0" t="s">
        <v>21</v>
      </c>
      <c r="C152" s="0" t="s">
        <v>13</v>
      </c>
      <c r="D152" s="0" t="n">
        <v>75.7</v>
      </c>
      <c r="E152" s="0" t="n">
        <v>9.55</v>
      </c>
    </row>
    <row r="153" customFormat="false" ht="15" hidden="false" customHeight="false" outlineLevel="0" collapsed="false">
      <c r="A153" s="0" t="n">
        <v>2018</v>
      </c>
      <c r="B153" s="0" t="s">
        <v>21</v>
      </c>
      <c r="C153" s="0" t="s">
        <v>13</v>
      </c>
      <c r="D153" s="0" t="n">
        <v>90.3</v>
      </c>
      <c r="E153" s="0" t="n">
        <v>19.29</v>
      </c>
    </row>
    <row r="154" customFormat="false" ht="15" hidden="false" customHeight="false" outlineLevel="0" collapsed="false">
      <c r="A154" s="0" t="n">
        <v>2019</v>
      </c>
      <c r="B154" s="0" t="s">
        <v>21</v>
      </c>
      <c r="C154" s="0" t="s">
        <v>13</v>
      </c>
      <c r="D154" s="0" t="n">
        <v>96.6</v>
      </c>
      <c r="E154" s="0" t="n">
        <v>6.98</v>
      </c>
    </row>
    <row r="155" customFormat="false" ht="15" hidden="false" customHeight="false" outlineLevel="0" collapsed="false">
      <c r="A155" s="0" t="n">
        <v>2020</v>
      </c>
      <c r="B155" s="0" t="s">
        <v>21</v>
      </c>
      <c r="C155" s="0" t="s">
        <v>13</v>
      </c>
      <c r="D155" s="0" t="n">
        <v>96.1</v>
      </c>
      <c r="E155" s="0" t="n">
        <v>-0.52</v>
      </c>
    </row>
    <row r="156" customFormat="false" ht="15" hidden="false" customHeight="false" outlineLevel="0" collapsed="false">
      <c r="A156" s="0" t="n">
        <v>2021</v>
      </c>
      <c r="B156" s="0" t="s">
        <v>21</v>
      </c>
      <c r="C156" s="0" t="s">
        <v>13</v>
      </c>
      <c r="D156" s="0" t="n">
        <v>103.7</v>
      </c>
      <c r="E156" s="0" t="n">
        <v>7.91</v>
      </c>
    </row>
    <row r="157" customFormat="false" ht="15" hidden="false" customHeight="false" outlineLevel="0" collapsed="false">
      <c r="A157" s="0" t="n">
        <v>2022</v>
      </c>
      <c r="B157" s="0" t="s">
        <v>21</v>
      </c>
      <c r="C157" s="0" t="s">
        <v>13</v>
      </c>
      <c r="D157" s="0" t="n">
        <v>116</v>
      </c>
      <c r="E157" s="0" t="n">
        <v>11.86</v>
      </c>
    </row>
    <row r="158" customFormat="false" ht="15" hidden="false" customHeight="false" outlineLevel="0" collapsed="false">
      <c r="A158" s="0" t="n">
        <v>2023</v>
      </c>
      <c r="B158" s="0" t="s">
        <v>21</v>
      </c>
      <c r="C158" s="0" t="s">
        <v>13</v>
      </c>
      <c r="D158" s="0" t="n">
        <v>122</v>
      </c>
      <c r="E158" s="0" t="n">
        <v>5.17</v>
      </c>
    </row>
    <row r="159" customFormat="false" ht="15" hidden="false" customHeight="false" outlineLevel="0" collapsed="false">
      <c r="A159" s="0" t="n">
        <v>2024</v>
      </c>
      <c r="B159" s="0" t="s">
        <v>21</v>
      </c>
      <c r="C159" s="0" t="s">
        <v>13</v>
      </c>
      <c r="D159" s="0" t="n">
        <v>136.1</v>
      </c>
      <c r="E159" s="0" t="n">
        <v>11.56</v>
      </c>
    </row>
    <row r="160" customFormat="false" ht="15" hidden="false" customHeight="false" outlineLevel="0" collapsed="false">
      <c r="A160" s="0" t="n">
        <v>2025</v>
      </c>
      <c r="B160" s="0" t="s">
        <v>21</v>
      </c>
      <c r="C160" s="0" t="s">
        <v>13</v>
      </c>
      <c r="D160" s="0" t="n">
        <v>149.9</v>
      </c>
      <c r="E160" s="0" t="n">
        <v>10.14</v>
      </c>
    </row>
    <row r="161" customFormat="false" ht="15" hidden="false" customHeight="false" outlineLevel="0" collapsed="false">
      <c r="A161" s="0" t="n">
        <v>2010</v>
      </c>
      <c r="B161" s="0" t="s">
        <v>22</v>
      </c>
      <c r="C161" s="0" t="s">
        <v>13</v>
      </c>
      <c r="D161" s="0" t="n">
        <v>89.6</v>
      </c>
    </row>
    <row r="162" customFormat="false" ht="15" hidden="false" customHeight="false" outlineLevel="0" collapsed="false">
      <c r="A162" s="0" t="n">
        <v>2011</v>
      </c>
      <c r="B162" s="0" t="s">
        <v>22</v>
      </c>
      <c r="C162" s="0" t="s">
        <v>13</v>
      </c>
      <c r="D162" s="0" t="n">
        <v>67.3</v>
      </c>
      <c r="E162" s="0" t="n">
        <v>-24.89</v>
      </c>
    </row>
    <row r="163" customFormat="false" ht="15" hidden="false" customHeight="false" outlineLevel="0" collapsed="false">
      <c r="A163" s="0" t="n">
        <v>2012</v>
      </c>
      <c r="B163" s="0" t="s">
        <v>22</v>
      </c>
      <c r="C163" s="0" t="s">
        <v>13</v>
      </c>
      <c r="D163" s="0" t="n">
        <v>56.2</v>
      </c>
      <c r="E163" s="0" t="n">
        <v>-16.49</v>
      </c>
    </row>
    <row r="164" customFormat="false" ht="15" hidden="false" customHeight="false" outlineLevel="0" collapsed="false">
      <c r="A164" s="0" t="n">
        <v>2013</v>
      </c>
      <c r="B164" s="0" t="s">
        <v>22</v>
      </c>
      <c r="C164" s="0" t="s">
        <v>13</v>
      </c>
      <c r="D164" s="0" t="n">
        <v>50.4</v>
      </c>
      <c r="E164" s="0" t="n">
        <v>-10.32</v>
      </c>
    </row>
    <row r="165" customFormat="false" ht="15" hidden="false" customHeight="false" outlineLevel="0" collapsed="false">
      <c r="A165" s="0" t="n">
        <v>2014</v>
      </c>
      <c r="B165" s="0" t="s">
        <v>22</v>
      </c>
      <c r="C165" s="0" t="s">
        <v>13</v>
      </c>
      <c r="D165" s="0" t="n">
        <v>53.3</v>
      </c>
      <c r="E165" s="0" t="n">
        <v>5.75</v>
      </c>
    </row>
    <row r="166" customFormat="false" ht="15" hidden="false" customHeight="false" outlineLevel="0" collapsed="false">
      <c r="A166" s="0" t="n">
        <v>2015</v>
      </c>
      <c r="B166" s="0" t="s">
        <v>22</v>
      </c>
      <c r="C166" s="0" t="s">
        <v>13</v>
      </c>
      <c r="D166" s="0" t="n">
        <v>60.7</v>
      </c>
      <c r="E166" s="0" t="n">
        <v>13.88</v>
      </c>
    </row>
    <row r="167" customFormat="false" ht="15" hidden="false" customHeight="false" outlineLevel="0" collapsed="false">
      <c r="A167" s="0" t="n">
        <v>2016</v>
      </c>
      <c r="B167" s="0" t="s">
        <v>22</v>
      </c>
      <c r="C167" s="0" t="s">
        <v>13</v>
      </c>
      <c r="D167" s="0" t="n">
        <v>70</v>
      </c>
      <c r="E167" s="0" t="n">
        <v>15.32</v>
      </c>
    </row>
    <row r="168" customFormat="false" ht="15" hidden="false" customHeight="false" outlineLevel="0" collapsed="false">
      <c r="A168" s="0" t="n">
        <v>2017</v>
      </c>
      <c r="B168" s="0" t="s">
        <v>22</v>
      </c>
      <c r="C168" s="0" t="s">
        <v>13</v>
      </c>
      <c r="D168" s="0" t="n">
        <v>78.5</v>
      </c>
      <c r="E168" s="0" t="n">
        <v>12.14</v>
      </c>
    </row>
    <row r="169" customFormat="false" ht="15" hidden="false" customHeight="false" outlineLevel="0" collapsed="false">
      <c r="A169" s="0" t="n">
        <v>2018</v>
      </c>
      <c r="B169" s="0" t="s">
        <v>22</v>
      </c>
      <c r="C169" s="0" t="s">
        <v>13</v>
      </c>
      <c r="D169" s="0" t="n">
        <v>88.3</v>
      </c>
      <c r="E169" s="0" t="n">
        <v>12.48</v>
      </c>
    </row>
    <row r="170" customFormat="false" ht="15" hidden="false" customHeight="false" outlineLevel="0" collapsed="false">
      <c r="A170" s="0" t="n">
        <v>2019</v>
      </c>
      <c r="B170" s="0" t="s">
        <v>22</v>
      </c>
      <c r="C170" s="0" t="s">
        <v>13</v>
      </c>
      <c r="D170" s="0" t="n">
        <v>93.9</v>
      </c>
      <c r="E170" s="0" t="n">
        <v>6.34</v>
      </c>
    </row>
    <row r="171" customFormat="false" ht="15" hidden="false" customHeight="false" outlineLevel="0" collapsed="false">
      <c r="A171" s="0" t="n">
        <v>2020</v>
      </c>
      <c r="B171" s="0" t="s">
        <v>22</v>
      </c>
      <c r="C171" s="0" t="s">
        <v>13</v>
      </c>
      <c r="D171" s="0" t="n">
        <v>95.4</v>
      </c>
      <c r="E171" s="0" t="n">
        <v>1.6</v>
      </c>
    </row>
    <row r="172" customFormat="false" ht="15" hidden="false" customHeight="false" outlineLevel="0" collapsed="false">
      <c r="A172" s="0" t="n">
        <v>2021</v>
      </c>
      <c r="B172" s="0" t="s">
        <v>22</v>
      </c>
      <c r="C172" s="0" t="s">
        <v>13</v>
      </c>
      <c r="D172" s="0" t="n">
        <v>105.3</v>
      </c>
      <c r="E172" s="0" t="n">
        <v>10.38</v>
      </c>
    </row>
    <row r="173" customFormat="false" ht="15" hidden="false" customHeight="false" outlineLevel="0" collapsed="false">
      <c r="A173" s="0" t="n">
        <v>2022</v>
      </c>
      <c r="B173" s="0" t="s">
        <v>22</v>
      </c>
      <c r="C173" s="0" t="s">
        <v>13</v>
      </c>
      <c r="D173" s="0" t="n">
        <v>121.1</v>
      </c>
      <c r="E173" s="0" t="n">
        <v>15</v>
      </c>
    </row>
    <row r="174" customFormat="false" ht="15" hidden="false" customHeight="false" outlineLevel="0" collapsed="false">
      <c r="A174" s="0" t="n">
        <v>2023</v>
      </c>
      <c r="B174" s="0" t="s">
        <v>22</v>
      </c>
      <c r="C174" s="0" t="s">
        <v>13</v>
      </c>
      <c r="D174" s="0" t="n">
        <v>127</v>
      </c>
      <c r="E174" s="0" t="n">
        <v>4.87</v>
      </c>
    </row>
    <row r="175" customFormat="false" ht="15" hidden="false" customHeight="false" outlineLevel="0" collapsed="false">
      <c r="A175" s="0" t="n">
        <v>2024</v>
      </c>
      <c r="B175" s="0" t="s">
        <v>22</v>
      </c>
      <c r="C175" s="0" t="s">
        <v>13</v>
      </c>
      <c r="D175" s="0" t="n">
        <v>140.3</v>
      </c>
      <c r="E175" s="0" t="n">
        <v>10.47</v>
      </c>
    </row>
    <row r="176" customFormat="false" ht="15" hidden="false" customHeight="false" outlineLevel="0" collapsed="false">
      <c r="A176" s="0" t="n">
        <v>2025</v>
      </c>
      <c r="B176" s="0" t="s">
        <v>22</v>
      </c>
      <c r="C176" s="0" t="s">
        <v>13</v>
      </c>
      <c r="D176" s="0" t="n">
        <v>156.8</v>
      </c>
      <c r="E176" s="0" t="n">
        <v>11.76</v>
      </c>
    </row>
    <row r="177" customFormat="false" ht="15" hidden="false" customHeight="false" outlineLevel="0" collapsed="false">
      <c r="A177" s="0" t="n">
        <v>2005</v>
      </c>
      <c r="B177" s="0" t="s">
        <v>23</v>
      </c>
      <c r="C177" s="0" t="s">
        <v>15</v>
      </c>
      <c r="D177" s="0" t="n">
        <v>105.5</v>
      </c>
    </row>
    <row r="178" customFormat="false" ht="15" hidden="false" customHeight="false" outlineLevel="0" collapsed="false">
      <c r="A178" s="0" t="n">
        <v>2006</v>
      </c>
      <c r="B178" s="0" t="s">
        <v>23</v>
      </c>
      <c r="C178" s="0" t="s">
        <v>15</v>
      </c>
      <c r="D178" s="0" t="n">
        <v>121.2</v>
      </c>
      <c r="E178" s="0" t="n">
        <v>14.88</v>
      </c>
    </row>
    <row r="179" customFormat="false" ht="15" hidden="false" customHeight="false" outlineLevel="0" collapsed="false">
      <c r="A179" s="0" t="n">
        <v>2007</v>
      </c>
      <c r="B179" s="0" t="s">
        <v>23</v>
      </c>
      <c r="C179" s="0" t="s">
        <v>15</v>
      </c>
      <c r="D179" s="0" t="n">
        <v>130.3</v>
      </c>
      <c r="E179" s="0" t="n">
        <v>7.51</v>
      </c>
    </row>
    <row r="180" customFormat="false" ht="15" hidden="false" customHeight="false" outlineLevel="0" collapsed="false">
      <c r="A180" s="0" t="n">
        <v>2008</v>
      </c>
      <c r="B180" s="0" t="s">
        <v>23</v>
      </c>
      <c r="C180" s="0" t="s">
        <v>15</v>
      </c>
      <c r="D180" s="0" t="n">
        <v>121.2</v>
      </c>
      <c r="E180" s="0" t="n">
        <v>-6.98</v>
      </c>
    </row>
    <row r="181" customFormat="false" ht="15" hidden="false" customHeight="false" outlineLevel="0" collapsed="false">
      <c r="A181" s="0" t="n">
        <v>2009</v>
      </c>
      <c r="B181" s="0" t="s">
        <v>23</v>
      </c>
      <c r="C181" s="0" t="s">
        <v>15</v>
      </c>
      <c r="D181" s="0" t="n">
        <v>98</v>
      </c>
      <c r="E181" s="0" t="n">
        <v>-19.14</v>
      </c>
    </row>
    <row r="182" customFormat="false" ht="15" hidden="false" customHeight="false" outlineLevel="0" collapsed="false">
      <c r="A182" s="0" t="n">
        <v>2010</v>
      </c>
      <c r="B182" s="0" t="s">
        <v>23</v>
      </c>
      <c r="C182" s="0" t="s">
        <v>15</v>
      </c>
      <c r="D182" s="0" t="n">
        <v>84.8</v>
      </c>
      <c r="E182" s="0" t="n">
        <v>-13.47</v>
      </c>
    </row>
    <row r="183" customFormat="false" ht="15" hidden="false" customHeight="false" outlineLevel="0" collapsed="false">
      <c r="A183" s="0" t="n">
        <v>2011</v>
      </c>
      <c r="B183" s="0" t="s">
        <v>23</v>
      </c>
      <c r="C183" s="0" t="s">
        <v>15</v>
      </c>
      <c r="D183" s="0" t="n">
        <v>70.3</v>
      </c>
      <c r="E183" s="0" t="n">
        <v>-17.1</v>
      </c>
    </row>
    <row r="184" customFormat="false" ht="15" hidden="false" customHeight="false" outlineLevel="0" collapsed="false">
      <c r="A184" s="0" t="n">
        <v>2012</v>
      </c>
      <c r="B184" s="0" t="s">
        <v>23</v>
      </c>
      <c r="C184" s="0" t="s">
        <v>15</v>
      </c>
      <c r="D184" s="0" t="n">
        <v>60.9</v>
      </c>
      <c r="E184" s="0" t="n">
        <v>-13.37</v>
      </c>
    </row>
    <row r="185" customFormat="false" ht="15" hidden="false" customHeight="false" outlineLevel="0" collapsed="false">
      <c r="A185" s="0" t="n">
        <v>2013</v>
      </c>
      <c r="B185" s="0" t="s">
        <v>23</v>
      </c>
      <c r="C185" s="0" t="s">
        <v>15</v>
      </c>
      <c r="D185" s="0" t="n">
        <v>61.6</v>
      </c>
      <c r="E185" s="0" t="n">
        <v>1.15</v>
      </c>
    </row>
    <row r="186" customFormat="false" ht="15" hidden="false" customHeight="false" outlineLevel="0" collapsed="false">
      <c r="A186" s="0" t="n">
        <v>2014</v>
      </c>
      <c r="B186" s="0" t="s">
        <v>23</v>
      </c>
      <c r="C186" s="0" t="s">
        <v>15</v>
      </c>
      <c r="D186" s="0" t="n">
        <v>71.8</v>
      </c>
      <c r="E186" s="0" t="n">
        <v>16.56</v>
      </c>
    </row>
    <row r="187" customFormat="false" ht="15" hidden="false" customHeight="false" outlineLevel="0" collapsed="false">
      <c r="A187" s="0" t="n">
        <v>2015</v>
      </c>
      <c r="B187" s="0" t="s">
        <v>23</v>
      </c>
      <c r="C187" s="0" t="s">
        <v>15</v>
      </c>
      <c r="D187" s="0" t="n">
        <v>80.1</v>
      </c>
      <c r="E187" s="0" t="n">
        <v>11.56</v>
      </c>
    </row>
    <row r="188" customFormat="false" ht="15" hidden="false" customHeight="false" outlineLevel="0" collapsed="false">
      <c r="A188" s="0" t="n">
        <v>2016</v>
      </c>
      <c r="B188" s="0" t="s">
        <v>23</v>
      </c>
      <c r="C188" s="0" t="s">
        <v>15</v>
      </c>
      <c r="D188" s="0" t="n">
        <v>86</v>
      </c>
      <c r="E188" s="0" t="n">
        <v>7.37</v>
      </c>
    </row>
    <row r="189" customFormat="false" ht="15" hidden="false" customHeight="false" outlineLevel="0" collapsed="false">
      <c r="A189" s="0" t="n">
        <v>2017</v>
      </c>
      <c r="B189" s="0" t="s">
        <v>23</v>
      </c>
      <c r="C189" s="0" t="s">
        <v>15</v>
      </c>
      <c r="D189" s="0" t="n">
        <v>95.4</v>
      </c>
      <c r="E189" s="0" t="n">
        <v>10.93</v>
      </c>
    </row>
    <row r="190" customFormat="false" ht="15" hidden="false" customHeight="false" outlineLevel="0" collapsed="false">
      <c r="A190" s="0" t="n">
        <v>2018</v>
      </c>
      <c r="B190" s="0" t="s">
        <v>23</v>
      </c>
      <c r="C190" s="0" t="s">
        <v>15</v>
      </c>
      <c r="D190" s="0" t="n">
        <v>105.1</v>
      </c>
      <c r="E190" s="0" t="n">
        <v>10.17</v>
      </c>
    </row>
    <row r="191" customFormat="false" ht="15" hidden="false" customHeight="false" outlineLevel="0" collapsed="false">
      <c r="A191" s="0" t="n">
        <v>2019</v>
      </c>
      <c r="B191" s="0" t="s">
        <v>23</v>
      </c>
      <c r="C191" s="0" t="s">
        <v>15</v>
      </c>
      <c r="D191" s="0" t="n">
        <v>107.6</v>
      </c>
      <c r="E191" s="0" t="n">
        <v>2.38</v>
      </c>
    </row>
    <row r="192" customFormat="false" ht="15" hidden="false" customHeight="false" outlineLevel="0" collapsed="false">
      <c r="A192" s="0" t="n">
        <v>2020</v>
      </c>
      <c r="B192" s="0" t="s">
        <v>23</v>
      </c>
      <c r="C192" s="0" t="s">
        <v>15</v>
      </c>
      <c r="D192" s="0" t="n">
        <v>107.9</v>
      </c>
      <c r="E192" s="0" t="n">
        <v>0.28</v>
      </c>
    </row>
    <row r="193" customFormat="false" ht="15" hidden="false" customHeight="false" outlineLevel="0" collapsed="false">
      <c r="A193" s="0" t="n">
        <v>2021</v>
      </c>
      <c r="B193" s="0" t="s">
        <v>23</v>
      </c>
      <c r="C193" s="0" t="s">
        <v>15</v>
      </c>
      <c r="D193" s="0" t="n">
        <v>116.9</v>
      </c>
      <c r="E193" s="0" t="n">
        <v>8.34</v>
      </c>
    </row>
    <row r="194" customFormat="false" ht="15" hidden="false" customHeight="false" outlineLevel="0" collapsed="false">
      <c r="A194" s="0" t="n">
        <v>2022</v>
      </c>
      <c r="B194" s="0" t="s">
        <v>23</v>
      </c>
      <c r="C194" s="0" t="s">
        <v>15</v>
      </c>
      <c r="D194" s="0" t="n">
        <v>131.3</v>
      </c>
      <c r="E194" s="0" t="n">
        <v>12.32</v>
      </c>
    </row>
    <row r="195" customFormat="false" ht="15" hidden="false" customHeight="false" outlineLevel="0" collapsed="false">
      <c r="A195" s="0" t="n">
        <v>2023</v>
      </c>
      <c r="B195" s="0" t="s">
        <v>23</v>
      </c>
      <c r="C195" s="0" t="s">
        <v>15</v>
      </c>
      <c r="D195" s="0" t="n">
        <v>135.3</v>
      </c>
      <c r="E195" s="0" t="n">
        <v>3.05</v>
      </c>
    </row>
    <row r="196" customFormat="false" ht="15" hidden="false" customHeight="false" outlineLevel="0" collapsed="false">
      <c r="A196" s="0" t="n">
        <v>2024</v>
      </c>
      <c r="B196" s="0" t="s">
        <v>23</v>
      </c>
      <c r="C196" s="0" t="s">
        <v>15</v>
      </c>
      <c r="D196" s="0" t="n">
        <v>146.8</v>
      </c>
      <c r="E196" s="0" t="n">
        <v>8.5</v>
      </c>
    </row>
    <row r="197" customFormat="false" ht="15" hidden="false" customHeight="false" outlineLevel="0" collapsed="false">
      <c r="A197" s="0" t="n">
        <v>2025</v>
      </c>
      <c r="B197" s="0" t="s">
        <v>23</v>
      </c>
      <c r="C197" s="0" t="s">
        <v>15</v>
      </c>
      <c r="D197" s="0" t="n">
        <v>157.9</v>
      </c>
      <c r="E197" s="0" t="n">
        <v>7.56</v>
      </c>
    </row>
    <row r="198" customFormat="false" ht="15" hidden="false" customHeight="false" outlineLevel="0" collapsed="false">
      <c r="A198" s="0" t="n">
        <v>2005</v>
      </c>
      <c r="B198" s="0" t="s">
        <v>23</v>
      </c>
      <c r="C198" s="0" t="s">
        <v>16</v>
      </c>
      <c r="D198" s="0" t="n">
        <v>102.1</v>
      </c>
    </row>
    <row r="199" customFormat="false" ht="15" hidden="false" customHeight="false" outlineLevel="0" collapsed="false">
      <c r="A199" s="0" t="n">
        <v>2006</v>
      </c>
      <c r="B199" s="0" t="s">
        <v>23</v>
      </c>
      <c r="C199" s="0" t="s">
        <v>16</v>
      </c>
      <c r="D199" s="0" t="n">
        <v>116.3</v>
      </c>
      <c r="E199" s="0" t="n">
        <v>13.91</v>
      </c>
    </row>
    <row r="200" customFormat="false" ht="15" hidden="false" customHeight="false" outlineLevel="0" collapsed="false">
      <c r="A200" s="0" t="n">
        <v>2007</v>
      </c>
      <c r="B200" s="0" t="s">
        <v>23</v>
      </c>
      <c r="C200" s="0" t="s">
        <v>16</v>
      </c>
      <c r="D200" s="0" t="n">
        <v>123</v>
      </c>
      <c r="E200" s="0" t="n">
        <v>5.76</v>
      </c>
    </row>
    <row r="201" customFormat="false" ht="15" hidden="false" customHeight="false" outlineLevel="0" collapsed="false">
      <c r="A201" s="0" t="n">
        <v>2008</v>
      </c>
      <c r="B201" s="0" t="s">
        <v>23</v>
      </c>
      <c r="C201" s="0" t="s">
        <v>16</v>
      </c>
      <c r="D201" s="0" t="n">
        <v>112</v>
      </c>
      <c r="E201" s="0" t="n">
        <v>-8.94</v>
      </c>
    </row>
    <row r="202" customFormat="false" ht="15" hidden="false" customHeight="false" outlineLevel="0" collapsed="false">
      <c r="A202" s="0" t="n">
        <v>2009</v>
      </c>
      <c r="B202" s="0" t="s">
        <v>23</v>
      </c>
      <c r="C202" s="0" t="s">
        <v>16</v>
      </c>
      <c r="D202" s="0" t="n">
        <v>82.2</v>
      </c>
      <c r="E202" s="0" t="n">
        <v>-26.61</v>
      </c>
    </row>
    <row r="203" customFormat="false" ht="15" hidden="false" customHeight="false" outlineLevel="0" collapsed="false">
      <c r="A203" s="0" t="n">
        <v>2010</v>
      </c>
      <c r="B203" s="0" t="s">
        <v>23</v>
      </c>
      <c r="C203" s="0" t="s">
        <v>16</v>
      </c>
      <c r="D203" s="0" t="n">
        <v>67.6</v>
      </c>
      <c r="E203" s="0" t="n">
        <v>-17.76</v>
      </c>
    </row>
    <row r="204" customFormat="false" ht="15" hidden="false" customHeight="false" outlineLevel="0" collapsed="false">
      <c r="A204" s="0" t="n">
        <v>2011</v>
      </c>
      <c r="B204" s="0" t="s">
        <v>23</v>
      </c>
      <c r="C204" s="0" t="s">
        <v>16</v>
      </c>
      <c r="D204" s="0" t="n">
        <v>56.1</v>
      </c>
      <c r="E204" s="0" t="n">
        <v>-17.01</v>
      </c>
    </row>
    <row r="205" customFormat="false" ht="15" hidden="false" customHeight="false" outlineLevel="0" collapsed="false">
      <c r="A205" s="0" t="n">
        <v>2012</v>
      </c>
      <c r="B205" s="0" t="s">
        <v>23</v>
      </c>
      <c r="C205" s="0" t="s">
        <v>16</v>
      </c>
      <c r="D205" s="0" t="n">
        <v>45.8</v>
      </c>
      <c r="E205" s="0" t="n">
        <v>-18.36</v>
      </c>
    </row>
    <row r="206" customFormat="false" ht="15" hidden="false" customHeight="false" outlineLevel="0" collapsed="false">
      <c r="A206" s="0" t="n">
        <v>2013</v>
      </c>
      <c r="B206" s="0" t="s">
        <v>23</v>
      </c>
      <c r="C206" s="0" t="s">
        <v>16</v>
      </c>
      <c r="D206" s="0" t="n">
        <v>47.5</v>
      </c>
      <c r="E206" s="0" t="n">
        <v>3.71</v>
      </c>
    </row>
    <row r="207" customFormat="false" ht="15" hidden="false" customHeight="false" outlineLevel="0" collapsed="false">
      <c r="A207" s="0" t="n">
        <v>2014</v>
      </c>
      <c r="B207" s="0" t="s">
        <v>23</v>
      </c>
      <c r="C207" s="0" t="s">
        <v>16</v>
      </c>
      <c r="D207" s="0" t="n">
        <v>57.3</v>
      </c>
      <c r="E207" s="0" t="n">
        <v>20.63</v>
      </c>
    </row>
    <row r="208" customFormat="false" ht="15" hidden="false" customHeight="false" outlineLevel="0" collapsed="false">
      <c r="A208" s="0" t="n">
        <v>2015</v>
      </c>
      <c r="B208" s="0" t="s">
        <v>23</v>
      </c>
      <c r="C208" s="0" t="s">
        <v>16</v>
      </c>
      <c r="D208" s="0" t="n">
        <v>65.2</v>
      </c>
      <c r="E208" s="0" t="n">
        <v>13.79</v>
      </c>
    </row>
    <row r="209" customFormat="false" ht="15" hidden="false" customHeight="false" outlineLevel="0" collapsed="false">
      <c r="A209" s="0" t="n">
        <v>2016</v>
      </c>
      <c r="B209" s="0" t="s">
        <v>23</v>
      </c>
      <c r="C209" s="0" t="s">
        <v>16</v>
      </c>
      <c r="D209" s="0" t="n">
        <v>69.8</v>
      </c>
      <c r="E209" s="0" t="n">
        <v>7.06</v>
      </c>
    </row>
    <row r="210" customFormat="false" ht="15" hidden="false" customHeight="false" outlineLevel="0" collapsed="false">
      <c r="A210" s="0" t="n">
        <v>2017</v>
      </c>
      <c r="B210" s="0" t="s">
        <v>23</v>
      </c>
      <c r="C210" s="0" t="s">
        <v>16</v>
      </c>
      <c r="D210" s="0" t="n">
        <v>77.5</v>
      </c>
      <c r="E210" s="0" t="n">
        <v>11.03</v>
      </c>
    </row>
    <row r="211" customFormat="false" ht="15" hidden="false" customHeight="false" outlineLevel="0" collapsed="false">
      <c r="A211" s="0" t="n">
        <v>2018</v>
      </c>
      <c r="B211" s="0" t="s">
        <v>23</v>
      </c>
      <c r="C211" s="0" t="s">
        <v>16</v>
      </c>
      <c r="D211" s="0" t="n">
        <v>87.4</v>
      </c>
      <c r="E211" s="0" t="n">
        <v>12.77</v>
      </c>
    </row>
    <row r="212" customFormat="false" ht="15" hidden="false" customHeight="false" outlineLevel="0" collapsed="false">
      <c r="A212" s="0" t="n">
        <v>2019</v>
      </c>
      <c r="B212" s="0" t="s">
        <v>23</v>
      </c>
      <c r="C212" s="0" t="s">
        <v>16</v>
      </c>
      <c r="D212" s="0" t="n">
        <v>89</v>
      </c>
      <c r="E212" s="0" t="n">
        <v>1.83</v>
      </c>
    </row>
    <row r="213" customFormat="false" ht="15" hidden="false" customHeight="false" outlineLevel="0" collapsed="false">
      <c r="A213" s="0" t="n">
        <v>2020</v>
      </c>
      <c r="B213" s="0" t="s">
        <v>23</v>
      </c>
      <c r="C213" s="0" t="s">
        <v>16</v>
      </c>
      <c r="D213" s="0" t="n">
        <v>90.4</v>
      </c>
      <c r="E213" s="0" t="n">
        <v>1.57</v>
      </c>
    </row>
    <row r="214" customFormat="false" ht="15" hidden="false" customHeight="false" outlineLevel="0" collapsed="false">
      <c r="A214" s="0" t="n">
        <v>2021</v>
      </c>
      <c r="B214" s="0" t="s">
        <v>23</v>
      </c>
      <c r="C214" s="0" t="s">
        <v>16</v>
      </c>
      <c r="D214" s="0" t="n">
        <v>96.8</v>
      </c>
      <c r="E214" s="0" t="n">
        <v>7.08</v>
      </c>
    </row>
    <row r="215" customFormat="false" ht="15" hidden="false" customHeight="false" outlineLevel="0" collapsed="false">
      <c r="A215" s="0" t="n">
        <v>2022</v>
      </c>
      <c r="B215" s="0" t="s">
        <v>23</v>
      </c>
      <c r="C215" s="0" t="s">
        <v>16</v>
      </c>
      <c r="D215" s="0" t="n">
        <v>107</v>
      </c>
      <c r="E215" s="0" t="n">
        <v>10.54</v>
      </c>
    </row>
    <row r="216" customFormat="false" ht="15" hidden="false" customHeight="false" outlineLevel="0" collapsed="false">
      <c r="A216" s="0" t="n">
        <v>2023</v>
      </c>
      <c r="B216" s="0" t="s">
        <v>23</v>
      </c>
      <c r="C216" s="0" t="s">
        <v>16</v>
      </c>
      <c r="D216" s="0" t="n">
        <v>109.2</v>
      </c>
      <c r="E216" s="0" t="n">
        <v>2.06</v>
      </c>
    </row>
    <row r="217" customFormat="false" ht="15" hidden="false" customHeight="false" outlineLevel="0" collapsed="false">
      <c r="A217" s="0" t="n">
        <v>2024</v>
      </c>
      <c r="B217" s="0" t="s">
        <v>23</v>
      </c>
      <c r="C217" s="0" t="s">
        <v>16</v>
      </c>
      <c r="D217" s="0" t="n">
        <v>117.3</v>
      </c>
      <c r="E217" s="0" t="n">
        <v>7.42</v>
      </c>
    </row>
    <row r="218" customFormat="false" ht="15" hidden="false" customHeight="false" outlineLevel="0" collapsed="false">
      <c r="A218" s="0" t="n">
        <v>2025</v>
      </c>
      <c r="B218" s="0" t="s">
        <v>23</v>
      </c>
      <c r="C218" s="0" t="s">
        <v>16</v>
      </c>
      <c r="D218" s="0" t="n">
        <v>125.3</v>
      </c>
      <c r="E218" s="0" t="n">
        <v>6.82</v>
      </c>
    </row>
    <row r="219" customFormat="false" ht="15" hidden="false" customHeight="false" outlineLevel="0" collapsed="false">
      <c r="A219" s="0" t="n">
        <v>2005</v>
      </c>
      <c r="B219" s="0" t="s">
        <v>23</v>
      </c>
      <c r="C219" s="0" t="s">
        <v>13</v>
      </c>
      <c r="D219" s="0" t="n">
        <v>105.9</v>
      </c>
    </row>
    <row r="220" customFormat="false" ht="15" hidden="false" customHeight="false" outlineLevel="0" collapsed="false">
      <c r="A220" s="0" t="n">
        <v>2006</v>
      </c>
      <c r="B220" s="0" t="s">
        <v>23</v>
      </c>
      <c r="C220" s="0" t="s">
        <v>13</v>
      </c>
      <c r="D220" s="0" t="n">
        <v>122</v>
      </c>
      <c r="E220" s="0" t="n">
        <v>15.2</v>
      </c>
    </row>
    <row r="221" customFormat="false" ht="15" hidden="false" customHeight="false" outlineLevel="0" collapsed="false">
      <c r="A221" s="0" t="n">
        <v>2007</v>
      </c>
      <c r="B221" s="0" t="s">
        <v>23</v>
      </c>
      <c r="C221" s="0" t="s">
        <v>13</v>
      </c>
      <c r="D221" s="0" t="n">
        <v>131.5</v>
      </c>
      <c r="E221" s="0" t="n">
        <v>7.79</v>
      </c>
    </row>
    <row r="222" customFormat="false" ht="15" hidden="false" customHeight="false" outlineLevel="0" collapsed="false">
      <c r="A222" s="0" t="n">
        <v>2008</v>
      </c>
      <c r="B222" s="0" t="s">
        <v>23</v>
      </c>
      <c r="C222" s="0" t="s">
        <v>13</v>
      </c>
      <c r="D222" s="0" t="n">
        <v>123</v>
      </c>
      <c r="E222" s="0" t="n">
        <v>-6.46</v>
      </c>
    </row>
    <row r="223" customFormat="false" ht="15" hidden="false" customHeight="false" outlineLevel="0" collapsed="false">
      <c r="A223" s="0" t="n">
        <v>2009</v>
      </c>
      <c r="B223" s="0" t="s">
        <v>23</v>
      </c>
      <c r="C223" s="0" t="s">
        <v>13</v>
      </c>
      <c r="D223" s="0" t="n">
        <v>100.9</v>
      </c>
      <c r="E223" s="0" t="n">
        <v>-17.97</v>
      </c>
    </row>
    <row r="224" customFormat="false" ht="15" hidden="false" customHeight="false" outlineLevel="0" collapsed="false">
      <c r="A224" s="0" t="n">
        <v>2010</v>
      </c>
      <c r="B224" s="0" t="s">
        <v>23</v>
      </c>
      <c r="C224" s="0" t="s">
        <v>13</v>
      </c>
      <c r="D224" s="0" t="n">
        <v>88</v>
      </c>
      <c r="E224" s="0" t="n">
        <v>-12.78</v>
      </c>
    </row>
    <row r="225" customFormat="false" ht="15" hidden="false" customHeight="false" outlineLevel="0" collapsed="false">
      <c r="A225" s="0" t="n">
        <v>2011</v>
      </c>
      <c r="B225" s="0" t="s">
        <v>23</v>
      </c>
      <c r="C225" s="0" t="s">
        <v>13</v>
      </c>
      <c r="D225" s="0" t="n">
        <v>73</v>
      </c>
      <c r="E225" s="0" t="n">
        <v>-17.05</v>
      </c>
    </row>
    <row r="226" customFormat="false" ht="15" hidden="false" customHeight="false" outlineLevel="0" collapsed="false">
      <c r="A226" s="0" t="n">
        <v>2012</v>
      </c>
      <c r="B226" s="0" t="s">
        <v>23</v>
      </c>
      <c r="C226" s="0" t="s">
        <v>13</v>
      </c>
      <c r="D226" s="0" t="n">
        <v>63.4</v>
      </c>
      <c r="E226" s="0" t="n">
        <v>-13.15</v>
      </c>
    </row>
    <row r="227" customFormat="false" ht="15" hidden="false" customHeight="false" outlineLevel="0" collapsed="false">
      <c r="A227" s="0" t="n">
        <v>2013</v>
      </c>
      <c r="B227" s="0" t="s">
        <v>23</v>
      </c>
      <c r="C227" s="0" t="s">
        <v>13</v>
      </c>
      <c r="D227" s="0" t="n">
        <v>64.1</v>
      </c>
      <c r="E227" s="0" t="n">
        <v>1.1</v>
      </c>
    </row>
    <row r="228" customFormat="false" ht="15" hidden="false" customHeight="false" outlineLevel="0" collapsed="false">
      <c r="A228" s="0" t="n">
        <v>2014</v>
      </c>
      <c r="B228" s="0" t="s">
        <v>23</v>
      </c>
      <c r="C228" s="0" t="s">
        <v>13</v>
      </c>
      <c r="D228" s="0" t="n">
        <v>74.3</v>
      </c>
      <c r="E228" s="0" t="n">
        <v>15.91</v>
      </c>
    </row>
    <row r="229" customFormat="false" ht="15" hidden="false" customHeight="false" outlineLevel="0" collapsed="false">
      <c r="A229" s="0" t="n">
        <v>2015</v>
      </c>
      <c r="B229" s="0" t="s">
        <v>23</v>
      </c>
      <c r="C229" s="0" t="s">
        <v>13</v>
      </c>
      <c r="D229" s="0" t="n">
        <v>82.8</v>
      </c>
      <c r="E229" s="0" t="n">
        <v>11.44</v>
      </c>
    </row>
    <row r="230" customFormat="false" ht="15" hidden="false" customHeight="false" outlineLevel="0" collapsed="false">
      <c r="A230" s="0" t="n">
        <v>2016</v>
      </c>
      <c r="B230" s="0" t="s">
        <v>23</v>
      </c>
      <c r="C230" s="0" t="s">
        <v>13</v>
      </c>
      <c r="D230" s="0" t="n">
        <v>88.9</v>
      </c>
      <c r="E230" s="0" t="n">
        <v>7.37</v>
      </c>
    </row>
    <row r="231" customFormat="false" ht="15" hidden="false" customHeight="false" outlineLevel="0" collapsed="false">
      <c r="A231" s="0" t="n">
        <v>2017</v>
      </c>
      <c r="B231" s="0" t="s">
        <v>23</v>
      </c>
      <c r="C231" s="0" t="s">
        <v>13</v>
      </c>
      <c r="D231" s="0" t="n">
        <v>98.5</v>
      </c>
      <c r="E231" s="0" t="n">
        <v>10.8</v>
      </c>
    </row>
    <row r="232" customFormat="false" ht="15" hidden="false" customHeight="false" outlineLevel="0" collapsed="false">
      <c r="A232" s="0" t="n">
        <v>2018</v>
      </c>
      <c r="B232" s="0" t="s">
        <v>23</v>
      </c>
      <c r="C232" s="0" t="s">
        <v>13</v>
      </c>
      <c r="D232" s="0" t="n">
        <v>108.4</v>
      </c>
      <c r="E232" s="0" t="n">
        <v>10.05</v>
      </c>
    </row>
    <row r="233" customFormat="false" ht="15" hidden="false" customHeight="false" outlineLevel="0" collapsed="false">
      <c r="A233" s="0" t="n">
        <v>2019</v>
      </c>
      <c r="B233" s="0" t="s">
        <v>23</v>
      </c>
      <c r="C233" s="0" t="s">
        <v>13</v>
      </c>
      <c r="D233" s="0" t="n">
        <v>110.9</v>
      </c>
      <c r="E233" s="0" t="n">
        <v>2.31</v>
      </c>
    </row>
    <row r="234" customFormat="false" ht="15" hidden="false" customHeight="false" outlineLevel="0" collapsed="false">
      <c r="A234" s="0" t="n">
        <v>2020</v>
      </c>
      <c r="B234" s="0" t="s">
        <v>23</v>
      </c>
      <c r="C234" s="0" t="s">
        <v>13</v>
      </c>
      <c r="D234" s="0" t="n">
        <v>111.5</v>
      </c>
      <c r="E234" s="0" t="n">
        <v>0.54</v>
      </c>
    </row>
    <row r="235" customFormat="false" ht="15" hidden="false" customHeight="false" outlineLevel="0" collapsed="false">
      <c r="A235" s="0" t="n">
        <v>2021</v>
      </c>
      <c r="B235" s="0" t="s">
        <v>23</v>
      </c>
      <c r="C235" s="0" t="s">
        <v>13</v>
      </c>
      <c r="D235" s="0" t="n">
        <v>120.9</v>
      </c>
      <c r="E235" s="0" t="n">
        <v>8.43</v>
      </c>
    </row>
    <row r="236" customFormat="false" ht="15" hidden="false" customHeight="false" outlineLevel="0" collapsed="false">
      <c r="A236" s="0" t="n">
        <v>2022</v>
      </c>
      <c r="B236" s="0" t="s">
        <v>23</v>
      </c>
      <c r="C236" s="0" t="s">
        <v>13</v>
      </c>
      <c r="D236" s="0" t="n">
        <v>136</v>
      </c>
      <c r="E236" s="0" t="n">
        <v>12.49</v>
      </c>
    </row>
    <row r="237" customFormat="false" ht="15" hidden="false" customHeight="false" outlineLevel="0" collapsed="false">
      <c r="A237" s="0" t="n">
        <v>2023</v>
      </c>
      <c r="B237" s="0" t="s">
        <v>23</v>
      </c>
      <c r="C237" s="0" t="s">
        <v>13</v>
      </c>
      <c r="D237" s="0" t="n">
        <v>140.4</v>
      </c>
      <c r="E237" s="0" t="n">
        <v>3.24</v>
      </c>
    </row>
    <row r="238" customFormat="false" ht="15" hidden="false" customHeight="false" outlineLevel="0" collapsed="false">
      <c r="A238" s="0" t="n">
        <v>2024</v>
      </c>
      <c r="B238" s="0" t="s">
        <v>23</v>
      </c>
      <c r="C238" s="0" t="s">
        <v>13</v>
      </c>
      <c r="D238" s="0" t="n">
        <v>152.6</v>
      </c>
      <c r="E238" s="0" t="n">
        <v>8.69</v>
      </c>
    </row>
    <row r="239" customFormat="false" ht="15" hidden="false" customHeight="false" outlineLevel="0" collapsed="false">
      <c r="A239" s="0" t="n">
        <v>2025</v>
      </c>
      <c r="B239" s="0" t="s">
        <v>23</v>
      </c>
      <c r="C239" s="0" t="s">
        <v>13</v>
      </c>
      <c r="D239" s="0" t="n">
        <v>164.3</v>
      </c>
      <c r="E239" s="0" t="n">
        <v>7.67</v>
      </c>
    </row>
    <row r="240" customFormat="false" ht="15" hidden="false" customHeight="false" outlineLevel="0" collapsed="false">
      <c r="A240" s="0" t="n">
        <v>2005</v>
      </c>
      <c r="B240" s="0" t="s">
        <v>24</v>
      </c>
      <c r="C240" s="0" t="s">
        <v>15</v>
      </c>
      <c r="D240" s="0" t="n">
        <v>104.7</v>
      </c>
    </row>
    <row r="241" customFormat="false" ht="15" hidden="false" customHeight="false" outlineLevel="0" collapsed="false">
      <c r="A241" s="0" t="n">
        <v>2006</v>
      </c>
      <c r="B241" s="0" t="s">
        <v>24</v>
      </c>
      <c r="C241" s="0" t="s">
        <v>15</v>
      </c>
      <c r="D241" s="0" t="n">
        <v>118.4</v>
      </c>
      <c r="E241" s="0" t="n">
        <v>13.09</v>
      </c>
    </row>
    <row r="242" customFormat="false" ht="15" hidden="false" customHeight="false" outlineLevel="0" collapsed="false">
      <c r="A242" s="0" t="n">
        <v>2007</v>
      </c>
      <c r="B242" s="0" t="s">
        <v>24</v>
      </c>
      <c r="C242" s="0" t="s">
        <v>15</v>
      </c>
      <c r="D242" s="0" t="n">
        <v>128.5</v>
      </c>
      <c r="E242" s="0" t="n">
        <v>8.53</v>
      </c>
    </row>
    <row r="243" customFormat="false" ht="15" hidden="false" customHeight="false" outlineLevel="0" collapsed="false">
      <c r="A243" s="0" t="n">
        <v>2008</v>
      </c>
      <c r="B243" s="0" t="s">
        <v>24</v>
      </c>
      <c r="C243" s="0" t="s">
        <v>15</v>
      </c>
      <c r="D243" s="0" t="n">
        <v>121.1</v>
      </c>
      <c r="E243" s="0" t="n">
        <v>-5.76</v>
      </c>
    </row>
    <row r="244" customFormat="false" ht="15" hidden="false" customHeight="false" outlineLevel="0" collapsed="false">
      <c r="A244" s="0" t="n">
        <v>2009</v>
      </c>
      <c r="B244" s="0" t="s">
        <v>24</v>
      </c>
      <c r="C244" s="0" t="s">
        <v>15</v>
      </c>
      <c r="D244" s="0" t="n">
        <v>101</v>
      </c>
      <c r="E244" s="0" t="n">
        <v>-16.6</v>
      </c>
    </row>
    <row r="245" customFormat="false" ht="15" hidden="false" customHeight="false" outlineLevel="0" collapsed="false">
      <c r="A245" s="0" t="n">
        <v>2010</v>
      </c>
      <c r="B245" s="0" t="s">
        <v>24</v>
      </c>
      <c r="C245" s="0" t="s">
        <v>15</v>
      </c>
      <c r="D245" s="0" t="n">
        <v>89</v>
      </c>
      <c r="E245" s="0" t="n">
        <v>-11.88</v>
      </c>
    </row>
    <row r="246" customFormat="false" ht="15" hidden="false" customHeight="false" outlineLevel="0" collapsed="false">
      <c r="A246" s="0" t="n">
        <v>2011</v>
      </c>
      <c r="B246" s="0" t="s">
        <v>24</v>
      </c>
      <c r="C246" s="0" t="s">
        <v>15</v>
      </c>
      <c r="D246" s="0" t="n">
        <v>73.1</v>
      </c>
      <c r="E246" s="0" t="n">
        <v>-17.87</v>
      </c>
    </row>
    <row r="247" customFormat="false" ht="15" hidden="false" customHeight="false" outlineLevel="0" collapsed="false">
      <c r="A247" s="0" t="n">
        <v>2012</v>
      </c>
      <c r="B247" s="0" t="s">
        <v>24</v>
      </c>
      <c r="C247" s="0" t="s">
        <v>15</v>
      </c>
      <c r="D247" s="0" t="n">
        <v>62</v>
      </c>
      <c r="E247" s="0" t="n">
        <v>-15.18</v>
      </c>
    </row>
    <row r="248" customFormat="false" ht="15" hidden="false" customHeight="false" outlineLevel="0" collapsed="false">
      <c r="A248" s="0" t="n">
        <v>2013</v>
      </c>
      <c r="B248" s="0" t="s">
        <v>24</v>
      </c>
      <c r="C248" s="0" t="s">
        <v>15</v>
      </c>
      <c r="D248" s="0" t="n">
        <v>57.7</v>
      </c>
      <c r="E248" s="0" t="n">
        <v>-6.94</v>
      </c>
    </row>
    <row r="249" customFormat="false" ht="15" hidden="false" customHeight="false" outlineLevel="0" collapsed="false">
      <c r="A249" s="0" t="n">
        <v>2014</v>
      </c>
      <c r="B249" s="0" t="s">
        <v>24</v>
      </c>
      <c r="C249" s="0" t="s">
        <v>15</v>
      </c>
      <c r="D249" s="0" t="n">
        <v>62.2</v>
      </c>
      <c r="E249" s="0" t="n">
        <v>7.8</v>
      </c>
    </row>
    <row r="250" customFormat="false" ht="15" hidden="false" customHeight="false" outlineLevel="0" collapsed="false">
      <c r="A250" s="0" t="n">
        <v>2015</v>
      </c>
      <c r="B250" s="0" t="s">
        <v>24</v>
      </c>
      <c r="C250" s="0" t="s">
        <v>15</v>
      </c>
      <c r="D250" s="0" t="n">
        <v>70.4</v>
      </c>
      <c r="E250" s="0" t="n">
        <v>13.18</v>
      </c>
    </row>
    <row r="251" customFormat="false" ht="15" hidden="false" customHeight="false" outlineLevel="0" collapsed="false">
      <c r="A251" s="0" t="n">
        <v>2016</v>
      </c>
      <c r="B251" s="0" t="s">
        <v>24</v>
      </c>
      <c r="C251" s="0" t="s">
        <v>15</v>
      </c>
      <c r="D251" s="0" t="n">
        <v>77.4</v>
      </c>
      <c r="E251" s="0" t="n">
        <v>9.94</v>
      </c>
    </row>
    <row r="252" customFormat="false" ht="15" hidden="false" customHeight="false" outlineLevel="0" collapsed="false">
      <c r="A252" s="0" t="n">
        <v>2017</v>
      </c>
      <c r="B252" s="0" t="s">
        <v>24</v>
      </c>
      <c r="C252" s="0" t="s">
        <v>15</v>
      </c>
      <c r="D252" s="0" t="n">
        <v>86.8</v>
      </c>
      <c r="E252" s="0" t="n">
        <v>12.14</v>
      </c>
    </row>
    <row r="253" customFormat="false" ht="15" hidden="false" customHeight="false" outlineLevel="0" collapsed="false">
      <c r="A253" s="0" t="n">
        <v>2018</v>
      </c>
      <c r="B253" s="0" t="s">
        <v>24</v>
      </c>
      <c r="C253" s="0" t="s">
        <v>15</v>
      </c>
      <c r="D253" s="0" t="n">
        <v>97.2</v>
      </c>
      <c r="E253" s="0" t="n">
        <v>11.98</v>
      </c>
    </row>
    <row r="254" customFormat="false" ht="15" hidden="false" customHeight="false" outlineLevel="0" collapsed="false">
      <c r="A254" s="0" t="n">
        <v>2019</v>
      </c>
      <c r="B254" s="0" t="s">
        <v>24</v>
      </c>
      <c r="C254" s="0" t="s">
        <v>15</v>
      </c>
      <c r="D254" s="0" t="n">
        <v>101.9</v>
      </c>
      <c r="E254" s="0" t="n">
        <v>4.84</v>
      </c>
    </row>
    <row r="255" customFormat="false" ht="15" hidden="false" customHeight="false" outlineLevel="0" collapsed="false">
      <c r="A255" s="0" t="n">
        <v>2020</v>
      </c>
      <c r="B255" s="0" t="s">
        <v>24</v>
      </c>
      <c r="C255" s="0" t="s">
        <v>15</v>
      </c>
      <c r="D255" s="0" t="n">
        <v>103</v>
      </c>
      <c r="E255" s="0" t="n">
        <v>1.08</v>
      </c>
    </row>
    <row r="256" customFormat="false" ht="15" hidden="false" customHeight="false" outlineLevel="0" collapsed="false">
      <c r="A256" s="0" t="n">
        <v>2021</v>
      </c>
      <c r="B256" s="0" t="s">
        <v>24</v>
      </c>
      <c r="C256" s="0" t="s">
        <v>15</v>
      </c>
      <c r="D256" s="0" t="n">
        <v>112.5</v>
      </c>
      <c r="E256" s="0" t="n">
        <v>9.22</v>
      </c>
    </row>
    <row r="257" customFormat="false" ht="15" hidden="false" customHeight="false" outlineLevel="0" collapsed="false">
      <c r="A257" s="0" t="n">
        <v>2022</v>
      </c>
      <c r="B257" s="0" t="s">
        <v>24</v>
      </c>
      <c r="C257" s="0" t="s">
        <v>15</v>
      </c>
      <c r="D257" s="0" t="n">
        <v>128.2</v>
      </c>
      <c r="E257" s="0" t="n">
        <v>13.96</v>
      </c>
    </row>
    <row r="258" customFormat="false" ht="15" hidden="false" customHeight="false" outlineLevel="0" collapsed="false">
      <c r="A258" s="0" t="n">
        <v>2023</v>
      </c>
      <c r="B258" s="0" t="s">
        <v>24</v>
      </c>
      <c r="C258" s="0" t="s">
        <v>15</v>
      </c>
      <c r="D258" s="0" t="n">
        <v>134.6</v>
      </c>
      <c r="E258" s="0" t="n">
        <v>4.99</v>
      </c>
    </row>
    <row r="259" customFormat="false" ht="15" hidden="false" customHeight="false" outlineLevel="0" collapsed="false">
      <c r="A259" s="0" t="n">
        <v>2024</v>
      </c>
      <c r="B259" s="0" t="s">
        <v>24</v>
      </c>
      <c r="C259" s="0" t="s">
        <v>15</v>
      </c>
      <c r="D259" s="0" t="n">
        <v>145.9</v>
      </c>
      <c r="E259" s="0" t="n">
        <v>8.4</v>
      </c>
    </row>
    <row r="260" customFormat="false" ht="15" hidden="false" customHeight="false" outlineLevel="0" collapsed="false">
      <c r="A260" s="0" t="n">
        <v>2025</v>
      </c>
      <c r="B260" s="0" t="s">
        <v>24</v>
      </c>
      <c r="C260" s="0" t="s">
        <v>15</v>
      </c>
      <c r="D260" s="0" t="n">
        <v>158.5</v>
      </c>
      <c r="E260" s="0" t="n">
        <v>8.64</v>
      </c>
    </row>
    <row r="261" customFormat="false" ht="15" hidden="false" customHeight="false" outlineLevel="0" collapsed="false">
      <c r="A261" s="0" t="n">
        <v>2005</v>
      </c>
      <c r="B261" s="0" t="s">
        <v>24</v>
      </c>
      <c r="C261" s="0" t="s">
        <v>16</v>
      </c>
      <c r="D261" s="0" t="n">
        <v>96.9</v>
      </c>
    </row>
    <row r="262" customFormat="false" ht="15" hidden="false" customHeight="false" outlineLevel="0" collapsed="false">
      <c r="A262" s="0" t="n">
        <v>2006</v>
      </c>
      <c r="B262" s="0" t="s">
        <v>24</v>
      </c>
      <c r="C262" s="0" t="s">
        <v>16</v>
      </c>
      <c r="D262" s="0" t="n">
        <v>111.7</v>
      </c>
      <c r="E262" s="0" t="n">
        <v>15.27</v>
      </c>
    </row>
    <row r="263" customFormat="false" ht="15" hidden="false" customHeight="false" outlineLevel="0" collapsed="false">
      <c r="A263" s="0" t="n">
        <v>2007</v>
      </c>
      <c r="B263" s="0" t="s">
        <v>24</v>
      </c>
      <c r="C263" s="0" t="s">
        <v>16</v>
      </c>
      <c r="D263" s="0" t="n">
        <v>118.7</v>
      </c>
      <c r="E263" s="0" t="n">
        <v>6.27</v>
      </c>
    </row>
    <row r="264" customFormat="false" ht="15" hidden="false" customHeight="false" outlineLevel="0" collapsed="false">
      <c r="A264" s="0" t="n">
        <v>2008</v>
      </c>
      <c r="B264" s="0" t="s">
        <v>24</v>
      </c>
      <c r="C264" s="0" t="s">
        <v>16</v>
      </c>
      <c r="D264" s="0" t="n">
        <v>110</v>
      </c>
      <c r="E264" s="0" t="n">
        <v>-7.33</v>
      </c>
    </row>
    <row r="265" customFormat="false" ht="15" hidden="false" customHeight="false" outlineLevel="0" collapsed="false">
      <c r="A265" s="0" t="n">
        <v>2009</v>
      </c>
      <c r="B265" s="0" t="s">
        <v>24</v>
      </c>
      <c r="C265" s="0" t="s">
        <v>16</v>
      </c>
      <c r="D265" s="0" t="n">
        <v>83.5</v>
      </c>
      <c r="E265" s="0" t="n">
        <v>-24.09</v>
      </c>
    </row>
    <row r="266" customFormat="false" ht="15" hidden="false" customHeight="false" outlineLevel="0" collapsed="false">
      <c r="A266" s="0" t="n">
        <v>2010</v>
      </c>
      <c r="B266" s="0" t="s">
        <v>24</v>
      </c>
      <c r="C266" s="0" t="s">
        <v>16</v>
      </c>
      <c r="D266" s="0" t="n">
        <v>68.3</v>
      </c>
      <c r="E266" s="0" t="n">
        <v>-18.2</v>
      </c>
    </row>
    <row r="267" customFormat="false" ht="15" hidden="false" customHeight="false" outlineLevel="0" collapsed="false">
      <c r="A267" s="0" t="n">
        <v>2011</v>
      </c>
      <c r="B267" s="0" t="s">
        <v>24</v>
      </c>
      <c r="C267" s="0" t="s">
        <v>16</v>
      </c>
      <c r="D267" s="0" t="n">
        <v>51.9</v>
      </c>
      <c r="E267" s="0" t="n">
        <v>-24.01</v>
      </c>
    </row>
    <row r="268" customFormat="false" ht="15" hidden="false" customHeight="false" outlineLevel="0" collapsed="false">
      <c r="A268" s="0" t="n">
        <v>2012</v>
      </c>
      <c r="B268" s="0" t="s">
        <v>24</v>
      </c>
      <c r="C268" s="0" t="s">
        <v>16</v>
      </c>
      <c r="D268" s="0" t="n">
        <v>43</v>
      </c>
      <c r="E268" s="0" t="n">
        <v>-17.15</v>
      </c>
    </row>
    <row r="269" customFormat="false" ht="15" hidden="false" customHeight="false" outlineLevel="0" collapsed="false">
      <c r="A269" s="0" t="n">
        <v>2013</v>
      </c>
      <c r="B269" s="0" t="s">
        <v>24</v>
      </c>
      <c r="C269" s="0" t="s">
        <v>16</v>
      </c>
      <c r="D269" s="0" t="n">
        <v>41.4</v>
      </c>
      <c r="E269" s="0" t="n">
        <v>-3.72</v>
      </c>
    </row>
    <row r="270" customFormat="false" ht="15" hidden="false" customHeight="false" outlineLevel="0" collapsed="false">
      <c r="A270" s="0" t="n">
        <v>2014</v>
      </c>
      <c r="B270" s="0" t="s">
        <v>24</v>
      </c>
      <c r="C270" s="0" t="s">
        <v>16</v>
      </c>
      <c r="D270" s="0" t="n">
        <v>44</v>
      </c>
      <c r="E270" s="0" t="n">
        <v>6.28</v>
      </c>
    </row>
    <row r="271" customFormat="false" ht="15" hidden="false" customHeight="false" outlineLevel="0" collapsed="false">
      <c r="A271" s="0" t="n">
        <v>2015</v>
      </c>
      <c r="B271" s="0" t="s">
        <v>24</v>
      </c>
      <c r="C271" s="0" t="s">
        <v>16</v>
      </c>
      <c r="D271" s="0" t="n">
        <v>49.9</v>
      </c>
      <c r="E271" s="0" t="n">
        <v>13.41</v>
      </c>
    </row>
    <row r="272" customFormat="false" ht="15" hidden="false" customHeight="false" outlineLevel="0" collapsed="false">
      <c r="A272" s="0" t="n">
        <v>2016</v>
      </c>
      <c r="B272" s="0" t="s">
        <v>24</v>
      </c>
      <c r="C272" s="0" t="s">
        <v>16</v>
      </c>
      <c r="D272" s="0" t="n">
        <v>56.5</v>
      </c>
      <c r="E272" s="0" t="n">
        <v>13.23</v>
      </c>
    </row>
    <row r="273" customFormat="false" ht="15" hidden="false" customHeight="false" outlineLevel="0" collapsed="false">
      <c r="A273" s="0" t="n">
        <v>2017</v>
      </c>
      <c r="B273" s="0" t="s">
        <v>24</v>
      </c>
      <c r="C273" s="0" t="s">
        <v>16</v>
      </c>
      <c r="D273" s="0" t="n">
        <v>64.6</v>
      </c>
      <c r="E273" s="0" t="n">
        <v>14.34</v>
      </c>
    </row>
    <row r="274" customFormat="false" ht="15" hidden="false" customHeight="false" outlineLevel="0" collapsed="false">
      <c r="A274" s="0" t="n">
        <v>2018</v>
      </c>
      <c r="B274" s="0" t="s">
        <v>24</v>
      </c>
      <c r="C274" s="0" t="s">
        <v>16</v>
      </c>
      <c r="D274" s="0" t="n">
        <v>74.4</v>
      </c>
      <c r="E274" s="0" t="n">
        <v>15.17</v>
      </c>
    </row>
    <row r="275" customFormat="false" ht="15" hidden="false" customHeight="false" outlineLevel="0" collapsed="false">
      <c r="A275" s="0" t="n">
        <v>2019</v>
      </c>
      <c r="B275" s="0" t="s">
        <v>24</v>
      </c>
      <c r="C275" s="0" t="s">
        <v>16</v>
      </c>
      <c r="D275" s="0" t="n">
        <v>79.2</v>
      </c>
      <c r="E275" s="0" t="n">
        <v>6.45</v>
      </c>
    </row>
    <row r="276" customFormat="false" ht="15" hidden="false" customHeight="false" outlineLevel="0" collapsed="false">
      <c r="A276" s="0" t="n">
        <v>2020</v>
      </c>
      <c r="B276" s="0" t="s">
        <v>24</v>
      </c>
      <c r="C276" s="0" t="s">
        <v>16</v>
      </c>
      <c r="D276" s="0" t="n">
        <v>79.6</v>
      </c>
      <c r="E276" s="0" t="n">
        <v>0.51</v>
      </c>
    </row>
    <row r="277" customFormat="false" ht="15" hidden="false" customHeight="false" outlineLevel="0" collapsed="false">
      <c r="A277" s="0" t="n">
        <v>2021</v>
      </c>
      <c r="B277" s="0" t="s">
        <v>24</v>
      </c>
      <c r="C277" s="0" t="s">
        <v>16</v>
      </c>
      <c r="D277" s="0" t="n">
        <v>90.2</v>
      </c>
      <c r="E277" s="0" t="n">
        <v>13.32</v>
      </c>
    </row>
    <row r="278" customFormat="false" ht="15" hidden="false" customHeight="false" outlineLevel="0" collapsed="false">
      <c r="A278" s="0" t="n">
        <v>2022</v>
      </c>
      <c r="B278" s="0" t="s">
        <v>24</v>
      </c>
      <c r="C278" s="0" t="s">
        <v>16</v>
      </c>
      <c r="D278" s="0" t="n">
        <v>101.3</v>
      </c>
      <c r="E278" s="0" t="n">
        <v>12.31</v>
      </c>
    </row>
    <row r="279" customFormat="false" ht="15" hidden="false" customHeight="false" outlineLevel="0" collapsed="false">
      <c r="A279" s="0" t="n">
        <v>2023</v>
      </c>
      <c r="B279" s="0" t="s">
        <v>24</v>
      </c>
      <c r="C279" s="0" t="s">
        <v>16</v>
      </c>
      <c r="D279" s="0" t="n">
        <v>105</v>
      </c>
      <c r="E279" s="0" t="n">
        <v>3.65</v>
      </c>
    </row>
    <row r="280" customFormat="false" ht="15" hidden="false" customHeight="false" outlineLevel="0" collapsed="false">
      <c r="A280" s="0" t="n">
        <v>2024</v>
      </c>
      <c r="B280" s="0" t="s">
        <v>24</v>
      </c>
      <c r="C280" s="0" t="s">
        <v>16</v>
      </c>
      <c r="D280" s="0" t="n">
        <v>113.8</v>
      </c>
      <c r="E280" s="0" t="n">
        <v>8.38</v>
      </c>
    </row>
    <row r="281" customFormat="false" ht="15" hidden="false" customHeight="false" outlineLevel="0" collapsed="false">
      <c r="A281" s="0" t="n">
        <v>2025</v>
      </c>
      <c r="B281" s="0" t="s">
        <v>24</v>
      </c>
      <c r="C281" s="0" t="s">
        <v>16</v>
      </c>
      <c r="D281" s="0" t="n">
        <v>122.8</v>
      </c>
      <c r="E281" s="0" t="n">
        <v>7.91</v>
      </c>
    </row>
    <row r="282" customFormat="false" ht="15" hidden="false" customHeight="false" outlineLevel="0" collapsed="false">
      <c r="A282" s="0" t="n">
        <v>2005</v>
      </c>
      <c r="B282" s="0" t="s">
        <v>24</v>
      </c>
      <c r="C282" s="0" t="s">
        <v>13</v>
      </c>
      <c r="D282" s="0" t="n">
        <v>105.2</v>
      </c>
    </row>
    <row r="283" customFormat="false" ht="15" hidden="false" customHeight="false" outlineLevel="0" collapsed="false">
      <c r="A283" s="0" t="n">
        <v>2006</v>
      </c>
      <c r="B283" s="0" t="s">
        <v>24</v>
      </c>
      <c r="C283" s="0" t="s">
        <v>13</v>
      </c>
      <c r="D283" s="0" t="n">
        <v>118.9</v>
      </c>
      <c r="E283" s="0" t="n">
        <v>13.02</v>
      </c>
    </row>
    <row r="284" customFormat="false" ht="15" hidden="false" customHeight="false" outlineLevel="0" collapsed="false">
      <c r="A284" s="0" t="n">
        <v>2007</v>
      </c>
      <c r="B284" s="0" t="s">
        <v>24</v>
      </c>
      <c r="C284" s="0" t="s">
        <v>13</v>
      </c>
      <c r="D284" s="0" t="n">
        <v>129.3</v>
      </c>
      <c r="E284" s="0" t="n">
        <v>8.75</v>
      </c>
    </row>
    <row r="285" customFormat="false" ht="15" hidden="false" customHeight="false" outlineLevel="0" collapsed="false">
      <c r="A285" s="0" t="n">
        <v>2008</v>
      </c>
      <c r="B285" s="0" t="s">
        <v>24</v>
      </c>
      <c r="C285" s="0" t="s">
        <v>13</v>
      </c>
      <c r="D285" s="0" t="n">
        <v>122</v>
      </c>
      <c r="E285" s="0" t="n">
        <v>-5.65</v>
      </c>
    </row>
    <row r="286" customFormat="false" ht="15" hidden="false" customHeight="false" outlineLevel="0" collapsed="false">
      <c r="A286" s="0" t="n">
        <v>2009</v>
      </c>
      <c r="B286" s="0" t="s">
        <v>24</v>
      </c>
      <c r="C286" s="0" t="s">
        <v>13</v>
      </c>
      <c r="D286" s="0" t="n">
        <v>102.4</v>
      </c>
      <c r="E286" s="0" t="n">
        <v>-16.07</v>
      </c>
    </row>
    <row r="287" customFormat="false" ht="15" hidden="false" customHeight="false" outlineLevel="0" collapsed="false">
      <c r="A287" s="0" t="n">
        <v>2010</v>
      </c>
      <c r="B287" s="0" t="s">
        <v>24</v>
      </c>
      <c r="C287" s="0" t="s">
        <v>13</v>
      </c>
      <c r="D287" s="0" t="n">
        <v>90.6</v>
      </c>
      <c r="E287" s="0" t="n">
        <v>-11.52</v>
      </c>
    </row>
    <row r="288" customFormat="false" ht="15" hidden="false" customHeight="false" outlineLevel="0" collapsed="false">
      <c r="A288" s="0" t="n">
        <v>2011</v>
      </c>
      <c r="B288" s="0" t="s">
        <v>24</v>
      </c>
      <c r="C288" s="0" t="s">
        <v>13</v>
      </c>
      <c r="D288" s="0" t="n">
        <v>74.7</v>
      </c>
      <c r="E288" s="0" t="n">
        <v>-17.55</v>
      </c>
    </row>
    <row r="289" customFormat="false" ht="15" hidden="false" customHeight="false" outlineLevel="0" collapsed="false">
      <c r="A289" s="0" t="n">
        <v>2012</v>
      </c>
      <c r="B289" s="0" t="s">
        <v>24</v>
      </c>
      <c r="C289" s="0" t="s">
        <v>13</v>
      </c>
      <c r="D289" s="0" t="n">
        <v>63.4</v>
      </c>
      <c r="E289" s="0" t="n">
        <v>-15.13</v>
      </c>
    </row>
    <row r="290" customFormat="false" ht="15" hidden="false" customHeight="false" outlineLevel="0" collapsed="false">
      <c r="A290" s="0" t="n">
        <v>2013</v>
      </c>
      <c r="B290" s="0" t="s">
        <v>24</v>
      </c>
      <c r="C290" s="0" t="s">
        <v>13</v>
      </c>
      <c r="D290" s="0" t="n">
        <v>59</v>
      </c>
      <c r="E290" s="0" t="n">
        <v>-6.94</v>
      </c>
    </row>
    <row r="291" customFormat="false" ht="15" hidden="false" customHeight="false" outlineLevel="0" collapsed="false">
      <c r="A291" s="0" t="n">
        <v>2014</v>
      </c>
      <c r="B291" s="0" t="s">
        <v>24</v>
      </c>
      <c r="C291" s="0" t="s">
        <v>13</v>
      </c>
      <c r="D291" s="0" t="n">
        <v>63.6</v>
      </c>
      <c r="E291" s="0" t="n">
        <v>7.8</v>
      </c>
    </row>
    <row r="292" customFormat="false" ht="15" hidden="false" customHeight="false" outlineLevel="0" collapsed="false">
      <c r="A292" s="0" t="n">
        <v>2015</v>
      </c>
      <c r="B292" s="0" t="s">
        <v>24</v>
      </c>
      <c r="C292" s="0" t="s">
        <v>13</v>
      </c>
      <c r="D292" s="0" t="n">
        <v>72</v>
      </c>
      <c r="E292" s="0" t="n">
        <v>13.21</v>
      </c>
    </row>
    <row r="293" customFormat="false" ht="15" hidden="false" customHeight="false" outlineLevel="0" collapsed="false">
      <c r="A293" s="0" t="n">
        <v>2016</v>
      </c>
      <c r="B293" s="0" t="s">
        <v>24</v>
      </c>
      <c r="C293" s="0" t="s">
        <v>13</v>
      </c>
      <c r="D293" s="0" t="n">
        <v>79</v>
      </c>
      <c r="E293" s="0" t="n">
        <v>9.72</v>
      </c>
    </row>
    <row r="294" customFormat="false" ht="15" hidden="false" customHeight="false" outlineLevel="0" collapsed="false">
      <c r="A294" s="0" t="n">
        <v>2017</v>
      </c>
      <c r="B294" s="0" t="s">
        <v>24</v>
      </c>
      <c r="C294" s="0" t="s">
        <v>13</v>
      </c>
      <c r="D294" s="0" t="n">
        <v>88.5</v>
      </c>
      <c r="E294" s="0" t="n">
        <v>12.03</v>
      </c>
    </row>
    <row r="295" customFormat="false" ht="15" hidden="false" customHeight="false" outlineLevel="0" collapsed="false">
      <c r="A295" s="0" t="n">
        <v>2018</v>
      </c>
      <c r="B295" s="0" t="s">
        <v>24</v>
      </c>
      <c r="C295" s="0" t="s">
        <v>13</v>
      </c>
      <c r="D295" s="0" t="n">
        <v>98.7</v>
      </c>
      <c r="E295" s="0" t="n">
        <v>11.53</v>
      </c>
    </row>
    <row r="296" customFormat="false" ht="15" hidden="false" customHeight="false" outlineLevel="0" collapsed="false">
      <c r="A296" s="0" t="n">
        <v>2019</v>
      </c>
      <c r="B296" s="0" t="s">
        <v>24</v>
      </c>
      <c r="C296" s="0" t="s">
        <v>13</v>
      </c>
      <c r="D296" s="0" t="n">
        <v>103.3</v>
      </c>
      <c r="E296" s="0" t="n">
        <v>4.66</v>
      </c>
    </row>
    <row r="297" customFormat="false" ht="15" hidden="false" customHeight="false" outlineLevel="0" collapsed="false">
      <c r="A297" s="0" t="n">
        <v>2020</v>
      </c>
      <c r="B297" s="0" t="s">
        <v>24</v>
      </c>
      <c r="C297" s="0" t="s">
        <v>13</v>
      </c>
      <c r="D297" s="0" t="n">
        <v>104.6</v>
      </c>
      <c r="E297" s="0" t="n">
        <v>1.26</v>
      </c>
    </row>
    <row r="298" customFormat="false" ht="15" hidden="false" customHeight="false" outlineLevel="0" collapsed="false">
      <c r="A298" s="0" t="n">
        <v>2021</v>
      </c>
      <c r="B298" s="0" t="s">
        <v>24</v>
      </c>
      <c r="C298" s="0" t="s">
        <v>13</v>
      </c>
      <c r="D298" s="0" t="n">
        <v>113.8</v>
      </c>
      <c r="E298" s="0" t="n">
        <v>8.8</v>
      </c>
    </row>
    <row r="299" customFormat="false" ht="15" hidden="false" customHeight="false" outlineLevel="0" collapsed="false">
      <c r="A299" s="0" t="n">
        <v>2022</v>
      </c>
      <c r="B299" s="0" t="s">
        <v>24</v>
      </c>
      <c r="C299" s="0" t="s">
        <v>13</v>
      </c>
      <c r="D299" s="0" t="n">
        <v>129.9</v>
      </c>
      <c r="E299" s="0" t="n">
        <v>14.15</v>
      </c>
    </row>
    <row r="300" customFormat="false" ht="15" hidden="false" customHeight="false" outlineLevel="0" collapsed="false">
      <c r="A300" s="0" t="n">
        <v>2023</v>
      </c>
      <c r="B300" s="0" t="s">
        <v>24</v>
      </c>
      <c r="C300" s="0" t="s">
        <v>13</v>
      </c>
      <c r="D300" s="0" t="n">
        <v>136.5</v>
      </c>
      <c r="E300" s="0" t="n">
        <v>5.08</v>
      </c>
    </row>
    <row r="301" customFormat="false" ht="15" hidden="false" customHeight="false" outlineLevel="0" collapsed="false">
      <c r="A301" s="0" t="n">
        <v>2024</v>
      </c>
      <c r="B301" s="0" t="s">
        <v>24</v>
      </c>
      <c r="C301" s="0" t="s">
        <v>13</v>
      </c>
      <c r="D301" s="0" t="n">
        <v>147.9</v>
      </c>
      <c r="E301" s="0" t="n">
        <v>8.35</v>
      </c>
    </row>
    <row r="302" customFormat="false" ht="15" hidden="false" customHeight="false" outlineLevel="0" collapsed="false">
      <c r="A302" s="0" t="n">
        <v>2025</v>
      </c>
      <c r="B302" s="0" t="s">
        <v>24</v>
      </c>
      <c r="C302" s="0" t="s">
        <v>13</v>
      </c>
      <c r="D302" s="0" t="n">
        <v>160.8</v>
      </c>
      <c r="E302" s="0" t="n">
        <v>8.72</v>
      </c>
    </row>
    <row r="303" customFormat="false" ht="15" hidden="false" customHeight="false" outlineLevel="0" collapsed="false">
      <c r="A303" s="0" t="n">
        <v>2010</v>
      </c>
      <c r="B303" s="0" t="s">
        <v>25</v>
      </c>
      <c r="C303" s="0" t="s">
        <v>13</v>
      </c>
      <c r="D303" s="0" t="n">
        <v>81</v>
      </c>
    </row>
    <row r="304" customFormat="false" ht="15" hidden="false" customHeight="false" outlineLevel="0" collapsed="false">
      <c r="A304" s="0" t="n">
        <v>2011</v>
      </c>
      <c r="B304" s="0" t="s">
        <v>25</v>
      </c>
      <c r="C304" s="0" t="s">
        <v>13</v>
      </c>
      <c r="D304" s="0" t="n">
        <v>70.9</v>
      </c>
      <c r="E304" s="0" t="n">
        <v>-12.47</v>
      </c>
    </row>
    <row r="305" customFormat="false" ht="15" hidden="false" customHeight="false" outlineLevel="0" collapsed="false">
      <c r="A305" s="0" t="n">
        <v>2012</v>
      </c>
      <c r="B305" s="0" t="s">
        <v>25</v>
      </c>
      <c r="C305" s="0" t="s">
        <v>13</v>
      </c>
      <c r="D305" s="0" t="n">
        <v>60.8</v>
      </c>
      <c r="E305" s="0" t="n">
        <v>-14.25</v>
      </c>
    </row>
    <row r="306" customFormat="false" ht="15" hidden="false" customHeight="false" outlineLevel="0" collapsed="false">
      <c r="A306" s="0" t="n">
        <v>2013</v>
      </c>
      <c r="B306" s="0" t="s">
        <v>25</v>
      </c>
      <c r="C306" s="0" t="s">
        <v>13</v>
      </c>
      <c r="D306" s="0" t="n">
        <v>66.6</v>
      </c>
      <c r="E306" s="0" t="n">
        <v>9.54</v>
      </c>
    </row>
    <row r="307" customFormat="false" ht="15" hidden="false" customHeight="false" outlineLevel="0" collapsed="false">
      <c r="A307" s="0" t="n">
        <v>2014</v>
      </c>
      <c r="B307" s="0" t="s">
        <v>25</v>
      </c>
      <c r="C307" s="0" t="s">
        <v>13</v>
      </c>
      <c r="D307" s="0" t="n">
        <v>82.5</v>
      </c>
      <c r="E307" s="0" t="n">
        <v>23.87</v>
      </c>
    </row>
    <row r="308" customFormat="false" ht="15" hidden="false" customHeight="false" outlineLevel="0" collapsed="false">
      <c r="A308" s="0" t="n">
        <v>2015</v>
      </c>
      <c r="B308" s="0" t="s">
        <v>25</v>
      </c>
      <c r="C308" s="0" t="s">
        <v>13</v>
      </c>
      <c r="D308" s="0" t="n">
        <v>90.8</v>
      </c>
      <c r="E308" s="0" t="n">
        <v>10.06</v>
      </c>
    </row>
    <row r="309" customFormat="false" ht="15" hidden="false" customHeight="false" outlineLevel="0" collapsed="false">
      <c r="A309" s="0" t="n">
        <v>2016</v>
      </c>
      <c r="B309" s="0" t="s">
        <v>25</v>
      </c>
      <c r="C309" s="0" t="s">
        <v>13</v>
      </c>
      <c r="D309" s="0" t="n">
        <v>91.8</v>
      </c>
      <c r="E309" s="0" t="n">
        <v>1.1</v>
      </c>
    </row>
    <row r="310" customFormat="false" ht="15" hidden="false" customHeight="false" outlineLevel="0" collapsed="false">
      <c r="A310" s="0" t="n">
        <v>2017</v>
      </c>
      <c r="B310" s="0" t="s">
        <v>25</v>
      </c>
      <c r="C310" s="0" t="s">
        <v>13</v>
      </c>
      <c r="D310" s="0" t="n">
        <v>102.2</v>
      </c>
      <c r="E310" s="0" t="n">
        <v>11.33</v>
      </c>
    </row>
    <row r="311" customFormat="false" ht="15" hidden="false" customHeight="false" outlineLevel="0" collapsed="false">
      <c r="A311" s="0" t="n">
        <v>2018</v>
      </c>
      <c r="B311" s="0" t="s">
        <v>25</v>
      </c>
      <c r="C311" s="0" t="s">
        <v>13</v>
      </c>
      <c r="D311" s="0" t="n">
        <v>109</v>
      </c>
      <c r="E311" s="0" t="n">
        <v>6.65</v>
      </c>
    </row>
    <row r="312" customFormat="false" ht="15" hidden="false" customHeight="false" outlineLevel="0" collapsed="false">
      <c r="A312" s="0" t="n">
        <v>2019</v>
      </c>
      <c r="B312" s="0" t="s">
        <v>25</v>
      </c>
      <c r="C312" s="0" t="s">
        <v>13</v>
      </c>
      <c r="D312" s="0" t="n">
        <v>111</v>
      </c>
      <c r="E312" s="0" t="n">
        <v>1.83</v>
      </c>
    </row>
    <row r="313" customFormat="false" ht="15" hidden="false" customHeight="false" outlineLevel="0" collapsed="false">
      <c r="A313" s="0" t="n">
        <v>2020</v>
      </c>
      <c r="B313" s="0" t="s">
        <v>25</v>
      </c>
      <c r="C313" s="0" t="s">
        <v>13</v>
      </c>
      <c r="D313" s="0" t="n">
        <v>110.4</v>
      </c>
      <c r="E313" s="0" t="n">
        <v>-0.54</v>
      </c>
    </row>
    <row r="314" customFormat="false" ht="15" hidden="false" customHeight="false" outlineLevel="0" collapsed="false">
      <c r="A314" s="0" t="n">
        <v>2021</v>
      </c>
      <c r="B314" s="0" t="s">
        <v>25</v>
      </c>
      <c r="C314" s="0" t="s">
        <v>13</v>
      </c>
      <c r="D314" s="0" t="n">
        <v>119.7</v>
      </c>
      <c r="E314" s="0" t="n">
        <v>8.42</v>
      </c>
    </row>
    <row r="315" customFormat="false" ht="15" hidden="false" customHeight="false" outlineLevel="0" collapsed="false">
      <c r="A315" s="0" t="n">
        <v>2022</v>
      </c>
      <c r="B315" s="0" t="s">
        <v>25</v>
      </c>
      <c r="C315" s="0" t="s">
        <v>13</v>
      </c>
      <c r="D315" s="0" t="n">
        <v>132.8</v>
      </c>
      <c r="E315" s="0" t="n">
        <v>10.94</v>
      </c>
    </row>
    <row r="316" customFormat="false" ht="15" hidden="false" customHeight="false" outlineLevel="0" collapsed="false">
      <c r="A316" s="0" t="n">
        <v>2023</v>
      </c>
      <c r="B316" s="0" t="s">
        <v>25</v>
      </c>
      <c r="C316" s="0" t="s">
        <v>13</v>
      </c>
      <c r="D316" s="0" t="n">
        <v>137.7</v>
      </c>
      <c r="E316" s="0" t="n">
        <v>3.69</v>
      </c>
    </row>
    <row r="317" customFormat="false" ht="15" hidden="false" customHeight="false" outlineLevel="0" collapsed="false">
      <c r="A317" s="0" t="n">
        <v>2024</v>
      </c>
      <c r="B317" s="0" t="s">
        <v>25</v>
      </c>
      <c r="C317" s="0" t="s">
        <v>13</v>
      </c>
      <c r="D317" s="0" t="n">
        <v>151.1</v>
      </c>
      <c r="E317" s="0" t="n">
        <v>9.73</v>
      </c>
    </row>
    <row r="318" customFormat="false" ht="15" hidden="false" customHeight="false" outlineLevel="0" collapsed="false">
      <c r="A318" s="0" t="n">
        <v>2025</v>
      </c>
      <c r="B318" s="0" t="s">
        <v>25</v>
      </c>
      <c r="C318" s="0" t="s">
        <v>13</v>
      </c>
      <c r="D318" s="0" t="n">
        <v>159.9</v>
      </c>
      <c r="E318" s="0" t="n">
        <v>5.82</v>
      </c>
    </row>
    <row r="319" customFormat="false" ht="15" hidden="false" customHeight="false" outlineLevel="0" collapsed="false">
      <c r="A319" s="0" t="n">
        <v>2010</v>
      </c>
      <c r="B319" s="0" t="s">
        <v>26</v>
      </c>
      <c r="C319" s="0" t="s">
        <v>13</v>
      </c>
      <c r="D319" s="0" t="n">
        <v>90</v>
      </c>
    </row>
    <row r="320" customFormat="false" ht="15" hidden="false" customHeight="false" outlineLevel="0" collapsed="false">
      <c r="A320" s="0" t="n">
        <v>2011</v>
      </c>
      <c r="B320" s="0" t="s">
        <v>26</v>
      </c>
      <c r="C320" s="0" t="s">
        <v>13</v>
      </c>
      <c r="D320" s="0" t="n">
        <v>71</v>
      </c>
      <c r="E320" s="0" t="n">
        <v>-21.11</v>
      </c>
    </row>
    <row r="321" customFormat="false" ht="15" hidden="false" customHeight="false" outlineLevel="0" collapsed="false">
      <c r="A321" s="0" t="n">
        <v>2012</v>
      </c>
      <c r="B321" s="0" t="s">
        <v>26</v>
      </c>
      <c r="C321" s="0" t="s">
        <v>13</v>
      </c>
      <c r="D321" s="0" t="n">
        <v>59.5</v>
      </c>
      <c r="E321" s="0" t="n">
        <v>-16.2</v>
      </c>
    </row>
    <row r="322" customFormat="false" ht="15" hidden="false" customHeight="false" outlineLevel="0" collapsed="false">
      <c r="A322" s="0" t="n">
        <v>2013</v>
      </c>
      <c r="B322" s="0" t="s">
        <v>26</v>
      </c>
      <c r="C322" s="0" t="s">
        <v>13</v>
      </c>
      <c r="D322" s="0" t="n">
        <v>54.2</v>
      </c>
      <c r="E322" s="0" t="n">
        <v>-8.91</v>
      </c>
    </row>
    <row r="323" customFormat="false" ht="15" hidden="false" customHeight="false" outlineLevel="0" collapsed="false">
      <c r="A323" s="0" t="n">
        <v>2014</v>
      </c>
      <c r="B323" s="0" t="s">
        <v>26</v>
      </c>
      <c r="C323" s="0" t="s">
        <v>13</v>
      </c>
      <c r="D323" s="0" t="n">
        <v>59.3</v>
      </c>
      <c r="E323" s="0" t="n">
        <v>9.41</v>
      </c>
    </row>
    <row r="324" customFormat="false" ht="15" hidden="false" customHeight="false" outlineLevel="0" collapsed="false">
      <c r="A324" s="0" t="n">
        <v>2015</v>
      </c>
      <c r="B324" s="0" t="s">
        <v>26</v>
      </c>
      <c r="C324" s="0" t="s">
        <v>13</v>
      </c>
      <c r="D324" s="0" t="n">
        <v>69.2</v>
      </c>
      <c r="E324" s="0" t="n">
        <v>16.69</v>
      </c>
    </row>
    <row r="325" customFormat="false" ht="15" hidden="false" customHeight="false" outlineLevel="0" collapsed="false">
      <c r="A325" s="0" t="n">
        <v>2016</v>
      </c>
      <c r="B325" s="0" t="s">
        <v>26</v>
      </c>
      <c r="C325" s="0" t="s">
        <v>13</v>
      </c>
      <c r="D325" s="0" t="n">
        <v>75.7</v>
      </c>
      <c r="E325" s="0" t="n">
        <v>9.39</v>
      </c>
    </row>
    <row r="326" customFormat="false" ht="15" hidden="false" customHeight="false" outlineLevel="0" collapsed="false">
      <c r="A326" s="0" t="n">
        <v>2017</v>
      </c>
      <c r="B326" s="0" t="s">
        <v>26</v>
      </c>
      <c r="C326" s="0" t="s">
        <v>13</v>
      </c>
      <c r="D326" s="0" t="n">
        <v>85.7</v>
      </c>
      <c r="E326" s="0" t="n">
        <v>13.21</v>
      </c>
    </row>
    <row r="327" customFormat="false" ht="15" hidden="false" customHeight="false" outlineLevel="0" collapsed="false">
      <c r="A327" s="0" t="n">
        <v>2018</v>
      </c>
      <c r="B327" s="0" t="s">
        <v>26</v>
      </c>
      <c r="C327" s="0" t="s">
        <v>13</v>
      </c>
      <c r="D327" s="0" t="n">
        <v>94.3</v>
      </c>
      <c r="E327" s="0" t="n">
        <v>10.04</v>
      </c>
    </row>
    <row r="328" customFormat="false" ht="15" hidden="false" customHeight="false" outlineLevel="0" collapsed="false">
      <c r="A328" s="0" t="n">
        <v>2019</v>
      </c>
      <c r="B328" s="0" t="s">
        <v>26</v>
      </c>
      <c r="C328" s="0" t="s">
        <v>13</v>
      </c>
      <c r="D328" s="0" t="n">
        <v>100</v>
      </c>
      <c r="E328" s="0" t="n">
        <v>6.04</v>
      </c>
    </row>
    <row r="329" customFormat="false" ht="15" hidden="false" customHeight="false" outlineLevel="0" collapsed="false">
      <c r="A329" s="0" t="n">
        <v>2020</v>
      </c>
      <c r="B329" s="0" t="s">
        <v>26</v>
      </c>
      <c r="C329" s="0" t="s">
        <v>13</v>
      </c>
      <c r="D329" s="0" t="n">
        <v>100</v>
      </c>
      <c r="E329" s="0" t="n">
        <v>0</v>
      </c>
    </row>
    <row r="330" customFormat="false" ht="15" hidden="false" customHeight="false" outlineLevel="0" collapsed="false">
      <c r="A330" s="0" t="n">
        <v>2021</v>
      </c>
      <c r="B330" s="0" t="s">
        <v>26</v>
      </c>
      <c r="C330" s="0" t="s">
        <v>13</v>
      </c>
      <c r="D330" s="0" t="n">
        <v>111.6</v>
      </c>
      <c r="E330" s="0" t="n">
        <v>11.6</v>
      </c>
    </row>
    <row r="331" customFormat="false" ht="15" hidden="false" customHeight="false" outlineLevel="0" collapsed="false">
      <c r="A331" s="0" t="n">
        <v>2022</v>
      </c>
      <c r="B331" s="0" t="s">
        <v>26</v>
      </c>
      <c r="C331" s="0" t="s">
        <v>13</v>
      </c>
      <c r="D331" s="0" t="n">
        <v>128.8</v>
      </c>
      <c r="E331" s="0" t="n">
        <v>15.41</v>
      </c>
    </row>
    <row r="332" customFormat="false" ht="15" hidden="false" customHeight="false" outlineLevel="0" collapsed="false">
      <c r="A332" s="0" t="n">
        <v>2023</v>
      </c>
      <c r="B332" s="0" t="s">
        <v>26</v>
      </c>
      <c r="C332" s="0" t="s">
        <v>13</v>
      </c>
      <c r="D332" s="0" t="n">
        <v>135.5</v>
      </c>
      <c r="E332" s="0" t="n">
        <v>5.2</v>
      </c>
    </row>
    <row r="333" customFormat="false" ht="15" hidden="false" customHeight="false" outlineLevel="0" collapsed="false">
      <c r="A333" s="0" t="n">
        <v>2024</v>
      </c>
      <c r="B333" s="0" t="s">
        <v>26</v>
      </c>
      <c r="C333" s="0" t="s">
        <v>13</v>
      </c>
      <c r="D333" s="0" t="n">
        <v>144.9</v>
      </c>
      <c r="E333" s="0" t="n">
        <v>6.94</v>
      </c>
    </row>
    <row r="334" customFormat="false" ht="15" hidden="false" customHeight="false" outlineLevel="0" collapsed="false">
      <c r="A334" s="0" t="n">
        <v>2025</v>
      </c>
      <c r="B334" s="0" t="s">
        <v>26</v>
      </c>
      <c r="C334" s="0" t="s">
        <v>13</v>
      </c>
      <c r="D334" s="0" t="n">
        <v>156</v>
      </c>
      <c r="E334" s="0" t="n">
        <v>7.66</v>
      </c>
    </row>
    <row r="335" customFormat="false" ht="15" hidden="false" customHeight="false" outlineLevel="0" collapsed="false">
      <c r="A335" s="0" t="n">
        <v>2010</v>
      </c>
      <c r="B335" s="0" t="s">
        <v>27</v>
      </c>
      <c r="C335" s="0" t="s">
        <v>13</v>
      </c>
      <c r="D335" s="0" t="n">
        <v>91.2</v>
      </c>
    </row>
    <row r="336" customFormat="false" ht="15" hidden="false" customHeight="false" outlineLevel="0" collapsed="false">
      <c r="A336" s="0" t="n">
        <v>2011</v>
      </c>
      <c r="B336" s="0" t="s">
        <v>27</v>
      </c>
      <c r="C336" s="0" t="s">
        <v>13</v>
      </c>
      <c r="D336" s="0" t="n">
        <v>75.5</v>
      </c>
      <c r="E336" s="0" t="n">
        <v>-17.21</v>
      </c>
    </row>
    <row r="337" customFormat="false" ht="15" hidden="false" customHeight="false" outlineLevel="0" collapsed="false">
      <c r="A337" s="0" t="n">
        <v>2012</v>
      </c>
      <c r="B337" s="0" t="s">
        <v>27</v>
      </c>
      <c r="C337" s="0" t="s">
        <v>13</v>
      </c>
      <c r="D337" s="0" t="n">
        <v>66.2</v>
      </c>
      <c r="E337" s="0" t="n">
        <v>-12.32</v>
      </c>
    </row>
    <row r="338" customFormat="false" ht="15" hidden="false" customHeight="false" outlineLevel="0" collapsed="false">
      <c r="A338" s="0" t="n">
        <v>2013</v>
      </c>
      <c r="B338" s="0" t="s">
        <v>27</v>
      </c>
      <c r="C338" s="0" t="s">
        <v>13</v>
      </c>
      <c r="D338" s="0" t="n">
        <v>62.7</v>
      </c>
      <c r="E338" s="0" t="n">
        <v>-5.29</v>
      </c>
    </row>
    <row r="339" customFormat="false" ht="15" hidden="false" customHeight="false" outlineLevel="0" collapsed="false">
      <c r="A339" s="0" t="n">
        <v>2014</v>
      </c>
      <c r="B339" s="0" t="s">
        <v>27</v>
      </c>
      <c r="C339" s="0" t="s">
        <v>13</v>
      </c>
      <c r="D339" s="0" t="n">
        <v>67.7</v>
      </c>
      <c r="E339" s="0" t="n">
        <v>7.97</v>
      </c>
    </row>
    <row r="340" customFormat="false" ht="15" hidden="false" customHeight="false" outlineLevel="0" collapsed="false">
      <c r="A340" s="0" t="n">
        <v>2015</v>
      </c>
      <c r="B340" s="0" t="s">
        <v>27</v>
      </c>
      <c r="C340" s="0" t="s">
        <v>13</v>
      </c>
      <c r="D340" s="0" t="n">
        <v>77</v>
      </c>
      <c r="E340" s="0" t="n">
        <v>13.74</v>
      </c>
    </row>
    <row r="341" customFormat="false" ht="15" hidden="false" customHeight="false" outlineLevel="0" collapsed="false">
      <c r="A341" s="0" t="n">
        <v>2016</v>
      </c>
      <c r="B341" s="0" t="s">
        <v>27</v>
      </c>
      <c r="C341" s="0" t="s">
        <v>13</v>
      </c>
      <c r="D341" s="0" t="n">
        <v>85.6</v>
      </c>
      <c r="E341" s="0" t="n">
        <v>11.17</v>
      </c>
    </row>
    <row r="342" customFormat="false" ht="15" hidden="false" customHeight="false" outlineLevel="0" collapsed="false">
      <c r="A342" s="0" t="n">
        <v>2017</v>
      </c>
      <c r="B342" s="0" t="s">
        <v>27</v>
      </c>
      <c r="C342" s="0" t="s">
        <v>13</v>
      </c>
      <c r="D342" s="0" t="n">
        <v>95.8</v>
      </c>
      <c r="E342" s="0" t="n">
        <v>11.92</v>
      </c>
    </row>
    <row r="343" customFormat="false" ht="15" hidden="false" customHeight="false" outlineLevel="0" collapsed="false">
      <c r="A343" s="0" t="n">
        <v>2018</v>
      </c>
      <c r="B343" s="0" t="s">
        <v>27</v>
      </c>
      <c r="C343" s="0" t="s">
        <v>13</v>
      </c>
      <c r="D343" s="0" t="n">
        <v>106.5</v>
      </c>
      <c r="E343" s="0" t="n">
        <v>11.17</v>
      </c>
    </row>
    <row r="344" customFormat="false" ht="15" hidden="false" customHeight="false" outlineLevel="0" collapsed="false">
      <c r="A344" s="0" t="n">
        <v>2019</v>
      </c>
      <c r="B344" s="0" t="s">
        <v>27</v>
      </c>
      <c r="C344" s="0" t="s">
        <v>13</v>
      </c>
      <c r="D344" s="0" t="n">
        <v>110.7</v>
      </c>
      <c r="E344" s="0" t="n">
        <v>3.94</v>
      </c>
    </row>
    <row r="345" customFormat="false" ht="15" hidden="false" customHeight="false" outlineLevel="0" collapsed="false">
      <c r="A345" s="0" t="n">
        <v>2020</v>
      </c>
      <c r="B345" s="0" t="s">
        <v>27</v>
      </c>
      <c r="C345" s="0" t="s">
        <v>13</v>
      </c>
      <c r="D345" s="0" t="n">
        <v>114.7</v>
      </c>
      <c r="E345" s="0" t="n">
        <v>3.61</v>
      </c>
    </row>
    <row r="346" customFormat="false" ht="15" hidden="false" customHeight="false" outlineLevel="0" collapsed="false">
      <c r="A346" s="0" t="n">
        <v>2021</v>
      </c>
      <c r="B346" s="0" t="s">
        <v>27</v>
      </c>
      <c r="C346" s="0" t="s">
        <v>13</v>
      </c>
      <c r="D346" s="0" t="n">
        <v>122.6</v>
      </c>
      <c r="E346" s="0" t="n">
        <v>6.89</v>
      </c>
    </row>
    <row r="347" customFormat="false" ht="15" hidden="false" customHeight="false" outlineLevel="0" collapsed="false">
      <c r="A347" s="0" t="n">
        <v>2022</v>
      </c>
      <c r="B347" s="0" t="s">
        <v>27</v>
      </c>
      <c r="C347" s="0" t="s">
        <v>13</v>
      </c>
      <c r="D347" s="0" t="n">
        <v>138</v>
      </c>
      <c r="E347" s="0" t="n">
        <v>12.56</v>
      </c>
    </row>
    <row r="348" customFormat="false" ht="15" hidden="false" customHeight="false" outlineLevel="0" collapsed="false">
      <c r="A348" s="0" t="n">
        <v>2023</v>
      </c>
      <c r="B348" s="0" t="s">
        <v>27</v>
      </c>
      <c r="C348" s="0" t="s">
        <v>13</v>
      </c>
      <c r="D348" s="0" t="n">
        <v>145.2</v>
      </c>
      <c r="E348" s="0" t="n">
        <v>5.22</v>
      </c>
    </row>
    <row r="349" customFormat="false" ht="15" hidden="false" customHeight="false" outlineLevel="0" collapsed="false">
      <c r="A349" s="0" t="n">
        <v>2024</v>
      </c>
      <c r="B349" s="0" t="s">
        <v>27</v>
      </c>
      <c r="C349" s="0" t="s">
        <v>13</v>
      </c>
      <c r="D349" s="0" t="n">
        <v>158.6</v>
      </c>
      <c r="E349" s="0" t="n">
        <v>9.23</v>
      </c>
    </row>
    <row r="350" customFormat="false" ht="15" hidden="false" customHeight="false" outlineLevel="0" collapsed="false">
      <c r="A350" s="0" t="n">
        <v>2025</v>
      </c>
      <c r="B350" s="0" t="s">
        <v>27</v>
      </c>
      <c r="C350" s="0" t="s">
        <v>13</v>
      </c>
      <c r="D350" s="0" t="n">
        <v>172.8</v>
      </c>
      <c r="E350" s="0" t="n">
        <v>8.95</v>
      </c>
    </row>
    <row r="351" customFormat="false" ht="15" hidden="false" customHeight="false" outlineLevel="0" collapsed="false">
      <c r="A351" s="0" t="n">
        <v>2010</v>
      </c>
      <c r="B351" s="0" t="s">
        <v>28</v>
      </c>
      <c r="C351" s="0" t="s">
        <v>13</v>
      </c>
      <c r="D351" s="0" t="n">
        <v>91.3</v>
      </c>
    </row>
    <row r="352" customFormat="false" ht="15" hidden="false" customHeight="false" outlineLevel="0" collapsed="false">
      <c r="A352" s="0" t="n">
        <v>2011</v>
      </c>
      <c r="B352" s="0" t="s">
        <v>28</v>
      </c>
      <c r="C352" s="0" t="s">
        <v>13</v>
      </c>
      <c r="D352" s="0" t="n">
        <v>76</v>
      </c>
      <c r="E352" s="0" t="n">
        <v>-16.76</v>
      </c>
    </row>
    <row r="353" customFormat="false" ht="15" hidden="false" customHeight="false" outlineLevel="0" collapsed="false">
      <c r="A353" s="0" t="n">
        <v>2012</v>
      </c>
      <c r="B353" s="0" t="s">
        <v>28</v>
      </c>
      <c r="C353" s="0" t="s">
        <v>13</v>
      </c>
      <c r="D353" s="0" t="n">
        <v>64.2</v>
      </c>
      <c r="E353" s="0" t="n">
        <v>-15.53</v>
      </c>
    </row>
    <row r="354" customFormat="false" ht="15" hidden="false" customHeight="false" outlineLevel="0" collapsed="false">
      <c r="A354" s="0" t="n">
        <v>2013</v>
      </c>
      <c r="B354" s="0" t="s">
        <v>28</v>
      </c>
      <c r="C354" s="0" t="s">
        <v>13</v>
      </c>
      <c r="D354" s="0" t="n">
        <v>58.9</v>
      </c>
      <c r="E354" s="0" t="n">
        <v>-8.26</v>
      </c>
    </row>
    <row r="355" customFormat="false" ht="15" hidden="false" customHeight="false" outlineLevel="0" collapsed="false">
      <c r="A355" s="0" t="n">
        <v>2014</v>
      </c>
      <c r="B355" s="0" t="s">
        <v>28</v>
      </c>
      <c r="C355" s="0" t="s">
        <v>13</v>
      </c>
      <c r="D355" s="0" t="n">
        <v>60.4</v>
      </c>
      <c r="E355" s="0" t="n">
        <v>2.55</v>
      </c>
    </row>
    <row r="356" customFormat="false" ht="15" hidden="false" customHeight="false" outlineLevel="0" collapsed="false">
      <c r="A356" s="0" t="n">
        <v>2015</v>
      </c>
      <c r="B356" s="0" t="s">
        <v>28</v>
      </c>
      <c r="C356" s="0" t="s">
        <v>13</v>
      </c>
      <c r="D356" s="0" t="n">
        <v>62.9</v>
      </c>
      <c r="E356" s="0" t="n">
        <v>4.14</v>
      </c>
    </row>
    <row r="357" customFormat="false" ht="15" hidden="false" customHeight="false" outlineLevel="0" collapsed="false">
      <c r="A357" s="0" t="n">
        <v>2016</v>
      </c>
      <c r="B357" s="0" t="s">
        <v>28</v>
      </c>
      <c r="C357" s="0" t="s">
        <v>13</v>
      </c>
      <c r="D357" s="0" t="n">
        <v>70.2</v>
      </c>
      <c r="E357" s="0" t="n">
        <v>11.61</v>
      </c>
    </row>
    <row r="358" customFormat="false" ht="15" hidden="false" customHeight="false" outlineLevel="0" collapsed="false">
      <c r="A358" s="0" t="n">
        <v>2017</v>
      </c>
      <c r="B358" s="0" t="s">
        <v>28</v>
      </c>
      <c r="C358" s="0" t="s">
        <v>13</v>
      </c>
      <c r="D358" s="0" t="n">
        <v>81.3</v>
      </c>
      <c r="E358" s="0" t="n">
        <v>15.81</v>
      </c>
    </row>
    <row r="359" customFormat="false" ht="15" hidden="false" customHeight="false" outlineLevel="0" collapsed="false">
      <c r="A359" s="0" t="n">
        <v>2018</v>
      </c>
      <c r="B359" s="0" t="s">
        <v>28</v>
      </c>
      <c r="C359" s="0" t="s">
        <v>13</v>
      </c>
      <c r="D359" s="0" t="n">
        <v>93.4</v>
      </c>
      <c r="E359" s="0" t="n">
        <v>14.88</v>
      </c>
    </row>
    <row r="360" customFormat="false" ht="15" hidden="false" customHeight="false" outlineLevel="0" collapsed="false">
      <c r="A360" s="0" t="n">
        <v>2019</v>
      </c>
      <c r="B360" s="0" t="s">
        <v>28</v>
      </c>
      <c r="C360" s="0" t="s">
        <v>13</v>
      </c>
      <c r="D360" s="0" t="n">
        <v>100.6</v>
      </c>
      <c r="E360" s="0" t="n">
        <v>7.71</v>
      </c>
    </row>
    <row r="361" customFormat="false" ht="15" hidden="false" customHeight="false" outlineLevel="0" collapsed="false">
      <c r="A361" s="0" t="n">
        <v>2020</v>
      </c>
      <c r="B361" s="0" t="s">
        <v>28</v>
      </c>
      <c r="C361" s="0" t="s">
        <v>13</v>
      </c>
      <c r="D361" s="0" t="n">
        <v>104.2</v>
      </c>
      <c r="E361" s="0" t="n">
        <v>3.58</v>
      </c>
    </row>
    <row r="362" customFormat="false" ht="15" hidden="false" customHeight="false" outlineLevel="0" collapsed="false">
      <c r="A362" s="0" t="n">
        <v>2021</v>
      </c>
      <c r="B362" s="0" t="s">
        <v>28</v>
      </c>
      <c r="C362" s="0" t="s">
        <v>13</v>
      </c>
      <c r="D362" s="0" t="n">
        <v>113.2</v>
      </c>
      <c r="E362" s="0" t="n">
        <v>8.64</v>
      </c>
    </row>
    <row r="363" customFormat="false" ht="15" hidden="false" customHeight="false" outlineLevel="0" collapsed="false">
      <c r="A363" s="0" t="n">
        <v>2022</v>
      </c>
      <c r="B363" s="0" t="s">
        <v>28</v>
      </c>
      <c r="C363" s="0" t="s">
        <v>13</v>
      </c>
      <c r="D363" s="0" t="n">
        <v>132.3</v>
      </c>
      <c r="E363" s="0" t="n">
        <v>16.87</v>
      </c>
    </row>
    <row r="364" customFormat="false" ht="15" hidden="false" customHeight="false" outlineLevel="0" collapsed="false">
      <c r="A364" s="0" t="n">
        <v>2023</v>
      </c>
      <c r="B364" s="0" t="s">
        <v>28</v>
      </c>
      <c r="C364" s="0" t="s">
        <v>13</v>
      </c>
      <c r="D364" s="0" t="n">
        <v>138.6</v>
      </c>
      <c r="E364" s="0" t="n">
        <v>4.76</v>
      </c>
    </row>
    <row r="365" customFormat="false" ht="15" hidden="false" customHeight="false" outlineLevel="0" collapsed="false">
      <c r="A365" s="0" t="n">
        <v>2024</v>
      </c>
      <c r="B365" s="0" t="s">
        <v>28</v>
      </c>
      <c r="C365" s="0" t="s">
        <v>13</v>
      </c>
      <c r="D365" s="0" t="n">
        <v>150.5</v>
      </c>
      <c r="E365" s="0" t="n">
        <v>8.59</v>
      </c>
    </row>
    <row r="366" customFormat="false" ht="15" hidden="false" customHeight="false" outlineLevel="0" collapsed="false">
      <c r="A366" s="0" t="n">
        <v>2025</v>
      </c>
      <c r="B366" s="0" t="s">
        <v>28</v>
      </c>
      <c r="C366" s="0" t="s">
        <v>13</v>
      </c>
      <c r="D366" s="0" t="n">
        <v>163.2</v>
      </c>
      <c r="E366" s="0" t="n">
        <v>8.44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7" t="s">
        <v>8</v>
      </c>
      <c r="B1" s="7" t="s">
        <v>29</v>
      </c>
      <c r="C1" s="7" t="s">
        <v>30</v>
      </c>
      <c r="D1" s="7" t="s">
        <v>31</v>
      </c>
    </row>
    <row r="2" customFormat="false" ht="15" hidden="false" customHeight="false" outlineLevel="0" collapsed="false">
      <c r="A2" s="0" t="s">
        <v>12</v>
      </c>
      <c r="B2" s="0" t="n">
        <f aca="false">ROUND(SUMIFS(Data!$D$2:$D$366,Data!$B$2:$B$366,A2,Data!$C$2:$C$366,"houses",Data!$A$2:$A$366,2025),1)</f>
        <v>134.7</v>
      </c>
      <c r="C2" s="0" t="n">
        <f aca="false">ROUND(SUMIFS(Data!$E$2:$E$366,Data!$B$2:$B$366,A2,Data!$C$2:$C$366,"houses",Data!$A$2:$A$366,2025),2)</f>
        <v>8.98</v>
      </c>
      <c r="D2" s="0" t="n">
        <f aca="false">IFERROR(ROUND((B2-SUMIFS(Data!$D$2:$D$366,Data!$B$2:$B$366,A2,Data!$C$2:$C$366,"houses",Data!$A$2:$A$366,2020))/SUMIFS(Data!$D$2:$D$366,Data!$B$2:$B$366,A2,Data!$C$2:$C$366,"houses",Data!$A$2:$A$366,2020)*100,1),"n/a")</f>
        <v>67.7</v>
      </c>
    </row>
    <row r="3" customFormat="false" ht="15" hidden="false" customHeight="false" outlineLevel="0" collapsed="false">
      <c r="A3" s="0" t="s">
        <v>14</v>
      </c>
      <c r="B3" s="0" t="n">
        <f aca="false">ROUND(SUMIFS(Data!$D$2:$D$366,Data!$B$2:$B$366,A3,Data!$C$2:$C$366,"houses",Data!$A$2:$A$366,2025),1)</f>
        <v>152.4</v>
      </c>
      <c r="C3" s="0" t="n">
        <f aca="false">ROUND(SUMIFS(Data!$E$2:$E$366,Data!$B$2:$B$366,A3,Data!$C$2:$C$366,"houses",Data!$A$2:$A$366,2025),2)</f>
        <v>6.05</v>
      </c>
      <c r="D3" s="0" t="n">
        <f aca="false">IFERROR(ROUND((B3-SUMIFS(Data!$D$2:$D$366,Data!$B$2:$B$366,A3,Data!$C$2:$C$366,"houses",Data!$A$2:$A$366,2020))/SUMIFS(Data!$D$2:$D$366,Data!$B$2:$B$366,A3,Data!$C$2:$C$366,"houses",Data!$A$2:$A$366,2020)*100,1),"n/a")</f>
        <v>38.4</v>
      </c>
    </row>
    <row r="4" customFormat="false" ht="15" hidden="false" customHeight="false" outlineLevel="0" collapsed="false">
      <c r="A4" s="0" t="s">
        <v>17</v>
      </c>
      <c r="B4" s="0" t="n">
        <f aca="false">ROUND(SUMIFS(Data!$D$2:$D$366,Data!$B$2:$B$366,A4,Data!$C$2:$C$366,"houses",Data!$A$2:$A$366,2025),1)</f>
        <v>153.5</v>
      </c>
      <c r="C4" s="0" t="n">
        <f aca="false">ROUND(SUMIFS(Data!$E$2:$E$366,Data!$B$2:$B$366,A4,Data!$C$2:$C$366,"houses",Data!$A$2:$A$366,2025),2)</f>
        <v>6.75</v>
      </c>
      <c r="D4" s="0" t="n">
        <f aca="false">IFERROR(ROUND((B4-SUMIFS(Data!$D$2:$D$366,Data!$B$2:$B$366,A4,Data!$C$2:$C$366,"houses",Data!$A$2:$A$366,2020))/SUMIFS(Data!$D$2:$D$366,Data!$B$2:$B$366,A4,Data!$C$2:$C$366,"houses",Data!$A$2:$A$366,2020)*100,1),"n/a")</f>
        <v>38.9</v>
      </c>
    </row>
    <row r="5" customFormat="false" ht="15" hidden="false" customHeight="false" outlineLevel="0" collapsed="false">
      <c r="A5" s="0" t="s">
        <v>18</v>
      </c>
      <c r="B5" s="0" t="n">
        <f aca="false">ROUND(SUMIFS(Data!$D$2:$D$366,Data!$B$2:$B$366,A5,Data!$C$2:$C$366,"houses",Data!$A$2:$A$366,2025),1)</f>
        <v>143.1</v>
      </c>
      <c r="C5" s="0" t="n">
        <f aca="false">ROUND(SUMIFS(Data!$E$2:$E$366,Data!$B$2:$B$366,A5,Data!$C$2:$C$366,"houses",Data!$A$2:$A$366,2025),2)</f>
        <v>5.07</v>
      </c>
      <c r="D5" s="0" t="n">
        <f aca="false">IFERROR(ROUND((B5-SUMIFS(Data!$D$2:$D$366,Data!$B$2:$B$366,A5,Data!$C$2:$C$366,"houses",Data!$A$2:$A$366,2020))/SUMIFS(Data!$D$2:$D$366,Data!$B$2:$B$366,A5,Data!$C$2:$C$366,"houses",Data!$A$2:$A$366,2020)*100,1),"n/a")</f>
        <v>33.4</v>
      </c>
    </row>
    <row r="6" customFormat="false" ht="15" hidden="false" customHeight="false" outlineLevel="0" collapsed="false">
      <c r="A6" s="0" t="s">
        <v>19</v>
      </c>
      <c r="B6" s="0" t="n">
        <f aca="false">ROUND(SUMIFS(Data!$D$2:$D$366,Data!$B$2:$B$366,A6,Data!$C$2:$C$366,"houses",Data!$A$2:$A$366,2025),1)</f>
        <v>149.3</v>
      </c>
      <c r="C6" s="0" t="n">
        <f aca="false">ROUND(SUMIFS(Data!$E$2:$E$366,Data!$B$2:$B$366,A6,Data!$C$2:$C$366,"houses",Data!$A$2:$A$366,2025),2)</f>
        <v>6.72</v>
      </c>
      <c r="D6" s="0" t="n">
        <f aca="false">IFERROR(ROUND((B6-SUMIFS(Data!$D$2:$D$366,Data!$B$2:$B$366,A6,Data!$C$2:$C$366,"houses",Data!$A$2:$A$366,2020))/SUMIFS(Data!$D$2:$D$366,Data!$B$2:$B$366,A6,Data!$C$2:$C$366,"houses",Data!$A$2:$A$366,2020)*100,1),"n/a")</f>
        <v>39.8</v>
      </c>
    </row>
    <row r="7" customFormat="false" ht="15" hidden="false" customHeight="false" outlineLevel="0" collapsed="false">
      <c r="A7" s="0" t="s">
        <v>20</v>
      </c>
      <c r="B7" s="0" t="n">
        <f aca="false">ROUND(SUMIFS(Data!$D$2:$D$366,Data!$B$2:$B$366,A7,Data!$C$2:$C$366,"houses",Data!$A$2:$A$366,2025),1)</f>
        <v>168.2</v>
      </c>
      <c r="C7" s="0" t="n">
        <f aca="false">ROUND(SUMIFS(Data!$E$2:$E$366,Data!$B$2:$B$366,A7,Data!$C$2:$C$366,"houses",Data!$A$2:$A$366,2025),2)</f>
        <v>7.75</v>
      </c>
      <c r="D7" s="0" t="n">
        <f aca="false">IFERROR(ROUND((B7-SUMIFS(Data!$D$2:$D$366,Data!$B$2:$B$366,A7,Data!$C$2:$C$366,"houses",Data!$A$2:$A$366,2020))/SUMIFS(Data!$D$2:$D$366,Data!$B$2:$B$366,A7,Data!$C$2:$C$366,"houses",Data!$A$2:$A$366,2020)*100,1),"n/a")</f>
        <v>48.5</v>
      </c>
    </row>
    <row r="8" customFormat="false" ht="15" hidden="false" customHeight="false" outlineLevel="0" collapsed="false">
      <c r="A8" s="0" t="s">
        <v>21</v>
      </c>
      <c r="B8" s="0" t="n">
        <f aca="false">ROUND(SUMIFS(Data!$D$2:$D$366,Data!$B$2:$B$366,A8,Data!$C$2:$C$366,"houses",Data!$A$2:$A$366,2025),1)</f>
        <v>149.9</v>
      </c>
      <c r="C8" s="0" t="n">
        <f aca="false">ROUND(SUMIFS(Data!$E$2:$E$366,Data!$B$2:$B$366,A8,Data!$C$2:$C$366,"houses",Data!$A$2:$A$366,2025),2)</f>
        <v>10.14</v>
      </c>
      <c r="D8" s="0" t="n">
        <f aca="false">IFERROR(ROUND((B8-SUMIFS(Data!$D$2:$D$366,Data!$B$2:$B$366,A8,Data!$C$2:$C$366,"houses",Data!$A$2:$A$366,2020))/SUMIFS(Data!$D$2:$D$366,Data!$B$2:$B$366,A8,Data!$C$2:$C$366,"houses",Data!$A$2:$A$366,2020)*100,1),"n/a")</f>
        <v>56</v>
      </c>
    </row>
    <row r="9" customFormat="false" ht="15" hidden="false" customHeight="false" outlineLevel="0" collapsed="false">
      <c r="A9" s="0" t="s">
        <v>22</v>
      </c>
      <c r="B9" s="0" t="n">
        <f aca="false">ROUND(SUMIFS(Data!$D$2:$D$366,Data!$B$2:$B$366,A9,Data!$C$2:$C$366,"houses",Data!$A$2:$A$366,2025),1)</f>
        <v>156.8</v>
      </c>
      <c r="C9" s="0" t="n">
        <f aca="false">ROUND(SUMIFS(Data!$E$2:$E$366,Data!$B$2:$B$366,A9,Data!$C$2:$C$366,"houses",Data!$A$2:$A$366,2025),2)</f>
        <v>11.76</v>
      </c>
      <c r="D9" s="0" t="n">
        <f aca="false">IFERROR(ROUND((B9-SUMIFS(Data!$D$2:$D$366,Data!$B$2:$B$366,A9,Data!$C$2:$C$366,"houses",Data!$A$2:$A$366,2020))/SUMIFS(Data!$D$2:$D$366,Data!$B$2:$B$366,A9,Data!$C$2:$C$366,"houses",Data!$A$2:$A$366,2020)*100,1),"n/a")</f>
        <v>64.4</v>
      </c>
    </row>
    <row r="10" customFormat="false" ht="15" hidden="false" customHeight="false" outlineLevel="0" collapsed="false">
      <c r="A10" s="0" t="s">
        <v>23</v>
      </c>
      <c r="B10" s="0" t="n">
        <f aca="false">ROUND(SUMIFS(Data!$D$2:$D$366,Data!$B$2:$B$366,A10,Data!$C$2:$C$366,"houses",Data!$A$2:$A$366,2025),1)</f>
        <v>164.3</v>
      </c>
      <c r="C10" s="0" t="n">
        <f aca="false">ROUND(SUMIFS(Data!$E$2:$E$366,Data!$B$2:$B$366,A10,Data!$C$2:$C$366,"houses",Data!$A$2:$A$366,2025),2)</f>
        <v>7.67</v>
      </c>
      <c r="D10" s="0" t="n">
        <f aca="false">IFERROR(ROUND((B10-SUMIFS(Data!$D$2:$D$366,Data!$B$2:$B$366,A10,Data!$C$2:$C$366,"houses",Data!$A$2:$A$366,2020))/SUMIFS(Data!$D$2:$D$366,Data!$B$2:$B$366,A10,Data!$C$2:$C$366,"houses",Data!$A$2:$A$366,2020)*100,1),"n/a")</f>
        <v>47.4</v>
      </c>
    </row>
    <row r="11" customFormat="false" ht="15" hidden="false" customHeight="false" outlineLevel="0" collapsed="false">
      <c r="A11" s="0" t="s">
        <v>24</v>
      </c>
      <c r="B11" s="0" t="n">
        <f aca="false">ROUND(SUMIFS(Data!$D$2:$D$366,Data!$B$2:$B$366,A11,Data!$C$2:$C$366,"houses",Data!$A$2:$A$366,2025),1)</f>
        <v>160.8</v>
      </c>
      <c r="C11" s="0" t="n">
        <f aca="false">ROUND(SUMIFS(Data!$E$2:$E$366,Data!$B$2:$B$366,A11,Data!$C$2:$C$366,"houses",Data!$A$2:$A$366,2025),2)</f>
        <v>8.72</v>
      </c>
      <c r="D11" s="0" t="n">
        <f aca="false">IFERROR(ROUND((B11-SUMIFS(Data!$D$2:$D$366,Data!$B$2:$B$366,A11,Data!$C$2:$C$366,"houses",Data!$A$2:$A$366,2020))/SUMIFS(Data!$D$2:$D$366,Data!$B$2:$B$366,A11,Data!$C$2:$C$366,"houses",Data!$A$2:$A$366,2020)*100,1),"n/a")</f>
        <v>53.7</v>
      </c>
    </row>
    <row r="12" customFormat="false" ht="15" hidden="false" customHeight="false" outlineLevel="0" collapsed="false">
      <c r="A12" s="0" t="s">
        <v>25</v>
      </c>
      <c r="B12" s="0" t="n">
        <f aca="false">ROUND(SUMIFS(Data!$D$2:$D$366,Data!$B$2:$B$366,A12,Data!$C$2:$C$366,"houses",Data!$A$2:$A$366,2025),1)</f>
        <v>159.9</v>
      </c>
      <c r="C12" s="0" t="n">
        <f aca="false">ROUND(SUMIFS(Data!$E$2:$E$366,Data!$B$2:$B$366,A12,Data!$C$2:$C$366,"houses",Data!$A$2:$A$366,2025),2)</f>
        <v>5.82</v>
      </c>
      <c r="D12" s="0" t="n">
        <f aca="false">IFERROR(ROUND((B12-SUMIFS(Data!$D$2:$D$366,Data!$B$2:$B$366,A12,Data!$C$2:$C$366,"houses",Data!$A$2:$A$366,2020))/SUMIFS(Data!$D$2:$D$366,Data!$B$2:$B$366,A12,Data!$C$2:$C$366,"houses",Data!$A$2:$A$366,2020)*100,1),"n/a")</f>
        <v>44.8</v>
      </c>
    </row>
    <row r="13" customFormat="false" ht="15" hidden="false" customHeight="false" outlineLevel="0" collapsed="false">
      <c r="A13" s="0" t="s">
        <v>26</v>
      </c>
      <c r="B13" s="0" t="n">
        <f aca="false">ROUND(SUMIFS(Data!$D$2:$D$366,Data!$B$2:$B$366,A13,Data!$C$2:$C$366,"houses",Data!$A$2:$A$366,2025),1)</f>
        <v>156</v>
      </c>
      <c r="C13" s="0" t="n">
        <f aca="false">ROUND(SUMIFS(Data!$E$2:$E$366,Data!$B$2:$B$366,A13,Data!$C$2:$C$366,"houses",Data!$A$2:$A$366,2025),2)</f>
        <v>7.66</v>
      </c>
      <c r="D13" s="0" t="n">
        <f aca="false">IFERROR(ROUND((B13-SUMIFS(Data!$D$2:$D$366,Data!$B$2:$B$366,A13,Data!$C$2:$C$366,"houses",Data!$A$2:$A$366,2020))/SUMIFS(Data!$D$2:$D$366,Data!$B$2:$B$366,A13,Data!$C$2:$C$366,"houses",Data!$A$2:$A$366,2020)*100,1),"n/a")</f>
        <v>56</v>
      </c>
    </row>
    <row r="14" customFormat="false" ht="15" hidden="false" customHeight="false" outlineLevel="0" collapsed="false">
      <c r="A14" s="0" t="s">
        <v>27</v>
      </c>
      <c r="B14" s="0" t="n">
        <f aca="false">ROUND(SUMIFS(Data!$D$2:$D$366,Data!$B$2:$B$366,A14,Data!$C$2:$C$366,"houses",Data!$A$2:$A$366,2025),1)</f>
        <v>172.8</v>
      </c>
      <c r="C14" s="0" t="n">
        <f aca="false">ROUND(SUMIFS(Data!$E$2:$E$366,Data!$B$2:$B$366,A14,Data!$C$2:$C$366,"houses",Data!$A$2:$A$366,2025),2)</f>
        <v>8.95</v>
      </c>
      <c r="D14" s="0" t="n">
        <f aca="false">IFERROR(ROUND((B14-SUMIFS(Data!$D$2:$D$366,Data!$B$2:$B$366,A14,Data!$C$2:$C$366,"houses",Data!$A$2:$A$366,2020))/SUMIFS(Data!$D$2:$D$366,Data!$B$2:$B$366,A14,Data!$C$2:$C$366,"houses",Data!$A$2:$A$366,2020)*100,1),"n/a")</f>
        <v>50.7</v>
      </c>
    </row>
    <row r="15" customFormat="false" ht="15" hidden="false" customHeight="false" outlineLevel="0" collapsed="false">
      <c r="A15" s="0" t="s">
        <v>28</v>
      </c>
      <c r="B15" s="0" t="n">
        <f aca="false">ROUND(SUMIFS(Data!$D$2:$D$366,Data!$B$2:$B$366,A15,Data!$C$2:$C$366,"houses",Data!$A$2:$A$366,2025),1)</f>
        <v>163.2</v>
      </c>
      <c r="C15" s="0" t="n">
        <f aca="false">ROUND(SUMIFS(Data!$E$2:$E$366,Data!$B$2:$B$366,A15,Data!$C$2:$C$366,"houses",Data!$A$2:$A$366,2025),2)</f>
        <v>8.44</v>
      </c>
      <c r="D15" s="0" t="n">
        <f aca="false">IFERROR(ROUND((B15-SUMIFS(Data!$D$2:$D$366,Data!$B$2:$B$366,A15,Data!$C$2:$C$366,"houses",Data!$A$2:$A$366,2020))/SUMIFS(Data!$D$2:$D$366,Data!$B$2:$B$366,A15,Data!$C$2:$C$366,"houses",Data!$A$2:$A$366,2020)*100,1),"n/a")</f>
        <v>56.6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7" t="s">
        <v>7</v>
      </c>
      <c r="B1" s="7" t="s">
        <v>32</v>
      </c>
      <c r="C1" s="7" t="s">
        <v>33</v>
      </c>
      <c r="D1" s="7" t="s">
        <v>34</v>
      </c>
    </row>
    <row r="2" customFormat="false" ht="15" hidden="false" customHeight="false" outlineLevel="0" collapsed="false">
      <c r="A2" s="0" t="n">
        <v>2005</v>
      </c>
      <c r="B2" s="0" t="n">
        <f aca="false">ROUND(SUMIFS(Data!$D$2:$D$366,Data!$A$2:$A$366,A2,Data!$B$2:$B$366,"Dublin",Data!$C$2:$C$366,"all residential properties"),1)</f>
        <v>106.9</v>
      </c>
      <c r="C2" s="0" t="n">
        <f aca="false">ROUND(SUMIFS(Data!$D$2:$D$366,Data!$A$2:$A$366,A2,Data!$B$2:$B$366,"National ex-Dublin",Data!$C$2:$C$366,"all residential properties"),1)</f>
        <v>104.7</v>
      </c>
      <c r="D2" s="0" t="n">
        <f aca="false">ROUND(SUMIFS(Data!$D$2:$D$366,Data!$A$2:$A$366,A2,Data!$B$2:$B$366,"National",Data!$C$2:$C$366,"all residential properties"),1)</f>
        <v>105.5</v>
      </c>
    </row>
    <row r="3" customFormat="false" ht="15" hidden="false" customHeight="false" outlineLevel="0" collapsed="false">
      <c r="A3" s="0" t="n">
        <v>2006</v>
      </c>
      <c r="B3" s="0" t="n">
        <f aca="false">ROUND(SUMIFS(Data!$D$2:$D$366,Data!$A$2:$A$366,A3,Data!$B$2:$B$366,"Dublin",Data!$C$2:$C$366,"all residential properties"),1)</f>
        <v>126.2</v>
      </c>
      <c r="C3" s="0" t="n">
        <f aca="false">ROUND(SUMIFS(Data!$D$2:$D$366,Data!$A$2:$A$366,A3,Data!$B$2:$B$366,"National ex-Dublin",Data!$C$2:$C$366,"all residential properties"),1)</f>
        <v>118.4</v>
      </c>
      <c r="D3" s="0" t="n">
        <f aca="false">ROUND(SUMIFS(Data!$D$2:$D$366,Data!$A$2:$A$366,A3,Data!$B$2:$B$366,"National",Data!$C$2:$C$366,"all residential properties"),1)</f>
        <v>121.2</v>
      </c>
    </row>
    <row r="4" customFormat="false" ht="15" hidden="false" customHeight="false" outlineLevel="0" collapsed="false">
      <c r="A4" s="0" t="n">
        <v>2007</v>
      </c>
      <c r="B4" s="0" t="n">
        <f aca="false">ROUND(SUMIFS(Data!$D$2:$D$366,Data!$A$2:$A$366,A4,Data!$B$2:$B$366,"Dublin",Data!$C$2:$C$366,"all residential properties"),1)</f>
        <v>133.2</v>
      </c>
      <c r="C4" s="0" t="n">
        <f aca="false">ROUND(SUMIFS(Data!$D$2:$D$366,Data!$A$2:$A$366,A4,Data!$B$2:$B$366,"National ex-Dublin",Data!$C$2:$C$366,"all residential properties"),1)</f>
        <v>128.5</v>
      </c>
      <c r="D4" s="0" t="n">
        <f aca="false">ROUND(SUMIFS(Data!$D$2:$D$366,Data!$A$2:$A$366,A4,Data!$B$2:$B$366,"National",Data!$C$2:$C$366,"all residential properties"),1)</f>
        <v>130.3</v>
      </c>
    </row>
    <row r="5" customFormat="false" ht="15" hidden="false" customHeight="false" outlineLevel="0" collapsed="false">
      <c r="A5" s="0" t="n">
        <v>2008</v>
      </c>
      <c r="B5" s="0" t="n">
        <f aca="false">ROUND(SUMIFS(Data!$D$2:$D$366,Data!$A$2:$A$366,A5,Data!$B$2:$B$366,"Dublin",Data!$C$2:$C$366,"all residential properties"),1)</f>
        <v>121</v>
      </c>
      <c r="C5" s="0" t="n">
        <f aca="false">ROUND(SUMIFS(Data!$D$2:$D$366,Data!$A$2:$A$366,A5,Data!$B$2:$B$366,"National ex-Dublin",Data!$C$2:$C$366,"all residential properties"),1)</f>
        <v>121.1</v>
      </c>
      <c r="D5" s="0" t="n">
        <f aca="false">ROUND(SUMIFS(Data!$D$2:$D$366,Data!$A$2:$A$366,A5,Data!$B$2:$B$366,"National",Data!$C$2:$C$366,"all residential properties"),1)</f>
        <v>121.2</v>
      </c>
    </row>
    <row r="6" customFormat="false" ht="15" hidden="false" customHeight="false" outlineLevel="0" collapsed="false">
      <c r="A6" s="0" t="n">
        <v>2009</v>
      </c>
      <c r="B6" s="0" t="n">
        <f aca="false">ROUND(SUMIFS(Data!$D$2:$D$366,Data!$A$2:$A$366,A6,Data!$B$2:$B$366,"Dublin",Data!$C$2:$C$366,"all residential properties"),1)</f>
        <v>91.4</v>
      </c>
      <c r="C6" s="0" t="n">
        <f aca="false">ROUND(SUMIFS(Data!$D$2:$D$366,Data!$A$2:$A$366,A6,Data!$B$2:$B$366,"National ex-Dublin",Data!$C$2:$C$366,"all residential properties"),1)</f>
        <v>101</v>
      </c>
      <c r="D6" s="0" t="n">
        <f aca="false">ROUND(SUMIFS(Data!$D$2:$D$366,Data!$A$2:$A$366,A6,Data!$B$2:$B$366,"National",Data!$C$2:$C$366,"all residential properties"),1)</f>
        <v>98</v>
      </c>
    </row>
    <row r="7" customFormat="false" ht="15" hidden="false" customHeight="false" outlineLevel="0" collapsed="false">
      <c r="A7" s="0" t="n">
        <v>2010</v>
      </c>
      <c r="B7" s="0" t="n">
        <f aca="false">ROUND(SUMIFS(Data!$D$2:$D$366,Data!$A$2:$A$366,A7,Data!$B$2:$B$366,"Dublin",Data!$C$2:$C$366,"all residential properties"),1)</f>
        <v>75.9</v>
      </c>
      <c r="C7" s="0" t="n">
        <f aca="false">ROUND(SUMIFS(Data!$D$2:$D$366,Data!$A$2:$A$366,A7,Data!$B$2:$B$366,"National ex-Dublin",Data!$C$2:$C$366,"all residential properties"),1)</f>
        <v>89</v>
      </c>
      <c r="D7" s="0" t="n">
        <f aca="false">ROUND(SUMIFS(Data!$D$2:$D$366,Data!$A$2:$A$366,A7,Data!$B$2:$B$366,"National",Data!$C$2:$C$366,"all residential properties"),1)</f>
        <v>84.8</v>
      </c>
    </row>
    <row r="8" customFormat="false" ht="15" hidden="false" customHeight="false" outlineLevel="0" collapsed="false">
      <c r="A8" s="0" t="n">
        <v>2011</v>
      </c>
      <c r="B8" s="0" t="n">
        <f aca="false">ROUND(SUMIFS(Data!$D$2:$D$366,Data!$A$2:$A$366,A8,Data!$B$2:$B$366,"Dublin",Data!$C$2:$C$366,"all residential properties"),1)</f>
        <v>63.7</v>
      </c>
      <c r="C8" s="0" t="n">
        <f aca="false">ROUND(SUMIFS(Data!$D$2:$D$366,Data!$A$2:$A$366,A8,Data!$B$2:$B$366,"National ex-Dublin",Data!$C$2:$C$366,"all residential properties"),1)</f>
        <v>73.1</v>
      </c>
      <c r="D8" s="0" t="n">
        <f aca="false">ROUND(SUMIFS(Data!$D$2:$D$366,Data!$A$2:$A$366,A8,Data!$B$2:$B$366,"National",Data!$C$2:$C$366,"all residential properties"),1)</f>
        <v>70.3</v>
      </c>
    </row>
    <row r="9" customFormat="false" ht="15" hidden="false" customHeight="false" outlineLevel="0" collapsed="false">
      <c r="A9" s="0" t="n">
        <v>2012</v>
      </c>
      <c r="B9" s="0" t="n">
        <f aca="false">ROUND(SUMIFS(Data!$D$2:$D$366,Data!$A$2:$A$366,A9,Data!$B$2:$B$366,"Dublin",Data!$C$2:$C$366,"all residential properties"),1)</f>
        <v>56.3</v>
      </c>
      <c r="C9" s="0" t="n">
        <f aca="false">ROUND(SUMIFS(Data!$D$2:$D$366,Data!$A$2:$A$366,A9,Data!$B$2:$B$366,"National ex-Dublin",Data!$C$2:$C$366,"all residential properties"),1)</f>
        <v>62</v>
      </c>
      <c r="D9" s="0" t="n">
        <f aca="false">ROUND(SUMIFS(Data!$D$2:$D$366,Data!$A$2:$A$366,A9,Data!$B$2:$B$366,"National",Data!$C$2:$C$366,"all residential properties"),1)</f>
        <v>60.9</v>
      </c>
    </row>
    <row r="10" customFormat="false" ht="15" hidden="false" customHeight="false" outlineLevel="0" collapsed="false">
      <c r="A10" s="0" t="n">
        <v>2013</v>
      </c>
      <c r="B10" s="0" t="n">
        <f aca="false">ROUND(SUMIFS(Data!$D$2:$D$366,Data!$A$2:$A$366,A10,Data!$B$2:$B$366,"Dublin",Data!$C$2:$C$366,"all residential properties"),1)</f>
        <v>61.8</v>
      </c>
      <c r="C10" s="0" t="n">
        <f aca="false">ROUND(SUMIFS(Data!$D$2:$D$366,Data!$A$2:$A$366,A10,Data!$B$2:$B$366,"National ex-Dublin",Data!$C$2:$C$366,"all residential properties"),1)</f>
        <v>57.7</v>
      </c>
      <c r="D10" s="0" t="n">
        <f aca="false">ROUND(SUMIFS(Data!$D$2:$D$366,Data!$A$2:$A$366,A10,Data!$B$2:$B$366,"National",Data!$C$2:$C$366,"all residential properties"),1)</f>
        <v>61.6</v>
      </c>
    </row>
    <row r="11" customFormat="false" ht="15" hidden="false" customHeight="false" outlineLevel="0" collapsed="false">
      <c r="A11" s="0" t="n">
        <v>2014</v>
      </c>
      <c r="B11" s="0" t="n">
        <f aca="false">ROUND(SUMIFS(Data!$D$2:$D$366,Data!$A$2:$A$366,A11,Data!$B$2:$B$366,"Dublin",Data!$C$2:$C$366,"all residential properties"),1)</f>
        <v>76.7</v>
      </c>
      <c r="C11" s="0" t="n">
        <f aca="false">ROUND(SUMIFS(Data!$D$2:$D$366,Data!$A$2:$A$366,A11,Data!$B$2:$B$366,"National ex-Dublin",Data!$C$2:$C$366,"all residential properties"),1)</f>
        <v>62.2</v>
      </c>
      <c r="D11" s="0" t="n">
        <f aca="false">ROUND(SUMIFS(Data!$D$2:$D$366,Data!$A$2:$A$366,A11,Data!$B$2:$B$366,"National",Data!$C$2:$C$366,"all residential properties"),1)</f>
        <v>71.8</v>
      </c>
    </row>
    <row r="12" customFormat="false" ht="15" hidden="false" customHeight="false" outlineLevel="0" collapsed="false">
      <c r="A12" s="0" t="n">
        <v>2015</v>
      </c>
      <c r="B12" s="0" t="n">
        <f aca="false">ROUND(SUMIFS(Data!$D$2:$D$366,Data!$A$2:$A$366,A12,Data!$B$2:$B$366,"Dublin",Data!$C$2:$C$366,"all residential properties"),1)</f>
        <v>84.4</v>
      </c>
      <c r="C12" s="0" t="n">
        <f aca="false">ROUND(SUMIFS(Data!$D$2:$D$366,Data!$A$2:$A$366,A12,Data!$B$2:$B$366,"National ex-Dublin",Data!$C$2:$C$366,"all residential properties"),1)</f>
        <v>70.4</v>
      </c>
      <c r="D12" s="0" t="n">
        <f aca="false">ROUND(SUMIFS(Data!$D$2:$D$366,Data!$A$2:$A$366,A12,Data!$B$2:$B$366,"National",Data!$C$2:$C$366,"all residential properties"),1)</f>
        <v>80.1</v>
      </c>
    </row>
    <row r="13" customFormat="false" ht="15" hidden="false" customHeight="false" outlineLevel="0" collapsed="false">
      <c r="A13" s="0" t="n">
        <v>2016</v>
      </c>
      <c r="B13" s="0" t="n">
        <f aca="false">ROUND(SUMIFS(Data!$D$2:$D$366,Data!$A$2:$A$366,A13,Data!$B$2:$B$366,"Dublin",Data!$C$2:$C$366,"all residential properties"),1)</f>
        <v>88.7</v>
      </c>
      <c r="C13" s="0" t="n">
        <f aca="false">ROUND(SUMIFS(Data!$D$2:$D$366,Data!$A$2:$A$366,A13,Data!$B$2:$B$366,"National ex-Dublin",Data!$C$2:$C$366,"all residential properties"),1)</f>
        <v>77.4</v>
      </c>
      <c r="D13" s="0" t="n">
        <f aca="false">ROUND(SUMIFS(Data!$D$2:$D$366,Data!$A$2:$A$366,A13,Data!$B$2:$B$366,"National",Data!$C$2:$C$366,"all residential properties"),1)</f>
        <v>86</v>
      </c>
    </row>
    <row r="14" customFormat="false" ht="15" hidden="false" customHeight="false" outlineLevel="0" collapsed="false">
      <c r="A14" s="0" t="n">
        <v>2017</v>
      </c>
      <c r="B14" s="0" t="n">
        <f aca="false">ROUND(SUMIFS(Data!$D$2:$D$366,Data!$A$2:$A$366,A14,Data!$B$2:$B$366,"Dublin",Data!$C$2:$C$366,"all residential properties"),1)</f>
        <v>97.1</v>
      </c>
      <c r="C14" s="0" t="n">
        <f aca="false">ROUND(SUMIFS(Data!$D$2:$D$366,Data!$A$2:$A$366,A14,Data!$B$2:$B$366,"National ex-Dublin",Data!$C$2:$C$366,"all residential properties"),1)</f>
        <v>86.8</v>
      </c>
      <c r="D14" s="0" t="n">
        <f aca="false">ROUND(SUMIFS(Data!$D$2:$D$366,Data!$A$2:$A$366,A14,Data!$B$2:$B$366,"National",Data!$C$2:$C$366,"all residential properties"),1)</f>
        <v>95.4</v>
      </c>
    </row>
    <row r="15" customFormat="false" ht="15" hidden="false" customHeight="false" outlineLevel="0" collapsed="false">
      <c r="A15" s="0" t="n">
        <v>2018</v>
      </c>
      <c r="B15" s="0" t="n">
        <f aca="false">ROUND(SUMIFS(Data!$D$2:$D$366,Data!$A$2:$A$366,A15,Data!$B$2:$B$366,"Dublin",Data!$C$2:$C$366,"all residential properties"),1)</f>
        <v>105.4</v>
      </c>
      <c r="C15" s="0" t="n">
        <f aca="false">ROUND(SUMIFS(Data!$D$2:$D$366,Data!$A$2:$A$366,A15,Data!$B$2:$B$366,"National ex-Dublin",Data!$C$2:$C$366,"all residential properties"),1)</f>
        <v>97.2</v>
      </c>
      <c r="D15" s="0" t="n">
        <f aca="false">ROUND(SUMIFS(Data!$D$2:$D$366,Data!$A$2:$A$366,A15,Data!$B$2:$B$366,"National",Data!$C$2:$C$366,"all residential properties"),1)</f>
        <v>105.1</v>
      </c>
    </row>
    <row r="16" customFormat="false" ht="15" hidden="false" customHeight="false" outlineLevel="0" collapsed="false">
      <c r="A16" s="0" t="n">
        <v>2019</v>
      </c>
      <c r="B16" s="0" t="n">
        <f aca="false">ROUND(SUMIFS(Data!$D$2:$D$366,Data!$A$2:$A$366,A16,Data!$B$2:$B$366,"Dublin",Data!$C$2:$C$366,"all residential properties"),1)</f>
        <v>105.4</v>
      </c>
      <c r="C16" s="0" t="n">
        <f aca="false">ROUND(SUMIFS(Data!$D$2:$D$366,Data!$A$2:$A$366,A16,Data!$B$2:$B$366,"National ex-Dublin",Data!$C$2:$C$366,"all residential properties"),1)</f>
        <v>101.9</v>
      </c>
      <c r="D16" s="0" t="n">
        <f aca="false">ROUND(SUMIFS(Data!$D$2:$D$366,Data!$A$2:$A$366,A16,Data!$B$2:$B$366,"National",Data!$C$2:$C$366,"all residential properties"),1)</f>
        <v>107.6</v>
      </c>
    </row>
    <row r="17" customFormat="false" ht="15" hidden="false" customHeight="false" outlineLevel="0" collapsed="false">
      <c r="A17" s="0" t="n">
        <v>2020</v>
      </c>
      <c r="B17" s="0" t="n">
        <f aca="false">ROUND(SUMIFS(Data!$D$2:$D$366,Data!$A$2:$A$366,A17,Data!$B$2:$B$366,"Dublin",Data!$C$2:$C$366,"all residential properties"),1)</f>
        <v>104.8</v>
      </c>
      <c r="C17" s="0" t="n">
        <f aca="false">ROUND(SUMIFS(Data!$D$2:$D$366,Data!$A$2:$A$366,A17,Data!$B$2:$B$366,"National ex-Dublin",Data!$C$2:$C$366,"all residential properties"),1)</f>
        <v>103</v>
      </c>
      <c r="D17" s="0" t="n">
        <f aca="false">ROUND(SUMIFS(Data!$D$2:$D$366,Data!$A$2:$A$366,A17,Data!$B$2:$B$366,"National",Data!$C$2:$C$366,"all residential properties"),1)</f>
        <v>107.9</v>
      </c>
    </row>
    <row r="18" customFormat="false" ht="15" hidden="false" customHeight="false" outlineLevel="0" collapsed="false">
      <c r="A18" s="0" t="n">
        <v>2021</v>
      </c>
      <c r="B18" s="0" t="n">
        <f aca="false">ROUND(SUMIFS(Data!$D$2:$D$366,Data!$A$2:$A$366,A18,Data!$B$2:$B$366,"Dublin",Data!$C$2:$C$366,"all residential properties"),1)</f>
        <v>112.5</v>
      </c>
      <c r="C18" s="0" t="n">
        <f aca="false">ROUND(SUMIFS(Data!$D$2:$D$366,Data!$A$2:$A$366,A18,Data!$B$2:$B$366,"National ex-Dublin",Data!$C$2:$C$366,"all residential properties"),1)</f>
        <v>112.5</v>
      </c>
      <c r="D18" s="0" t="n">
        <f aca="false">ROUND(SUMIFS(Data!$D$2:$D$366,Data!$A$2:$A$366,A18,Data!$B$2:$B$366,"National",Data!$C$2:$C$366,"all residential properties"),1)</f>
        <v>116.9</v>
      </c>
    </row>
    <row r="19" customFormat="false" ht="15" hidden="false" customHeight="false" outlineLevel="0" collapsed="false">
      <c r="A19" s="0" t="n">
        <v>2022</v>
      </c>
      <c r="B19" s="0" t="n">
        <f aca="false">ROUND(SUMIFS(Data!$D$2:$D$366,Data!$A$2:$A$366,A19,Data!$B$2:$B$366,"Dublin",Data!$C$2:$C$366,"all residential properties"),1)</f>
        <v>124</v>
      </c>
      <c r="C19" s="0" t="n">
        <f aca="false">ROUND(SUMIFS(Data!$D$2:$D$366,Data!$A$2:$A$366,A19,Data!$B$2:$B$366,"National ex-Dublin",Data!$C$2:$C$366,"all residential properties"),1)</f>
        <v>128.2</v>
      </c>
      <c r="D19" s="0" t="n">
        <f aca="false">ROUND(SUMIFS(Data!$D$2:$D$366,Data!$A$2:$A$366,A19,Data!$B$2:$B$366,"National",Data!$C$2:$C$366,"all residential properties"),1)</f>
        <v>131.3</v>
      </c>
    </row>
    <row r="20" customFormat="false" ht="15" hidden="false" customHeight="false" outlineLevel="0" collapsed="false">
      <c r="A20" s="0" t="n">
        <v>2023</v>
      </c>
      <c r="B20" s="0" t="n">
        <f aca="false">ROUND(SUMIFS(Data!$D$2:$D$366,Data!$A$2:$A$366,A20,Data!$B$2:$B$366,"Dublin",Data!$C$2:$C$366,"all residential properties"),1)</f>
        <v>124.8</v>
      </c>
      <c r="C20" s="0" t="n">
        <f aca="false">ROUND(SUMIFS(Data!$D$2:$D$366,Data!$A$2:$A$366,A20,Data!$B$2:$B$366,"National ex-Dublin",Data!$C$2:$C$366,"all residential properties"),1)</f>
        <v>134.6</v>
      </c>
      <c r="D20" s="0" t="n">
        <f aca="false">ROUND(SUMIFS(Data!$D$2:$D$366,Data!$A$2:$A$366,A20,Data!$B$2:$B$366,"National",Data!$C$2:$C$366,"all residential properties"),1)</f>
        <v>135.3</v>
      </c>
    </row>
    <row r="21" customFormat="false" ht="15" hidden="false" customHeight="false" outlineLevel="0" collapsed="false">
      <c r="A21" s="0" t="n">
        <v>2024</v>
      </c>
      <c r="B21" s="0" t="n">
        <f aca="false">ROUND(SUMIFS(Data!$D$2:$D$366,Data!$A$2:$A$366,A21,Data!$B$2:$B$366,"Dublin",Data!$C$2:$C$366,"all residential properties"),1)</f>
        <v>135.6</v>
      </c>
      <c r="C21" s="0" t="n">
        <f aca="false">ROUND(SUMIFS(Data!$D$2:$D$366,Data!$A$2:$A$366,A21,Data!$B$2:$B$366,"National ex-Dublin",Data!$C$2:$C$366,"all residential properties"),1)</f>
        <v>145.9</v>
      </c>
      <c r="D21" s="0" t="n">
        <f aca="false">ROUND(SUMIFS(Data!$D$2:$D$366,Data!$A$2:$A$366,A21,Data!$B$2:$B$366,"National",Data!$C$2:$C$366,"all residential properties"),1)</f>
        <v>146.8</v>
      </c>
    </row>
    <row r="22" customFormat="false" ht="15" hidden="false" customHeight="false" outlineLevel="0" collapsed="false">
      <c r="A22" s="0" t="n">
        <v>2025</v>
      </c>
      <c r="B22" s="0" t="n">
        <f aca="false">ROUND(SUMIFS(Data!$D$2:$D$366,Data!$A$2:$A$366,A22,Data!$B$2:$B$366,"Dublin",Data!$C$2:$C$366,"all residential properties"),1)</f>
        <v>143.9</v>
      </c>
      <c r="C22" s="0" t="n">
        <f aca="false">ROUND(SUMIFS(Data!$D$2:$D$366,Data!$A$2:$A$366,A22,Data!$B$2:$B$366,"National ex-Dublin",Data!$C$2:$C$366,"all residential properties"),1)</f>
        <v>158.5</v>
      </c>
      <c r="D22" s="0" t="n">
        <f aca="false">ROUND(SUMIFS(Data!$D$2:$D$366,Data!$A$2:$A$366,A22,Data!$B$2:$B$366,"National",Data!$C$2:$C$366,"all residential properties"),1)</f>
        <v>157.9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8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8" t="s">
        <v>35</v>
      </c>
    </row>
    <row r="3" customFormat="false" ht="15" hidden="false" customHeight="false" outlineLevel="0" collapsed="false">
      <c r="A3" s="7" t="s">
        <v>36</v>
      </c>
      <c r="B3" s="7" t="s">
        <v>37</v>
      </c>
      <c r="C3" s="7" t="s">
        <v>38</v>
      </c>
    </row>
    <row r="4" customFormat="false" ht="15" hidden="false" customHeight="false" outlineLevel="0" collapsed="false">
      <c r="A4" s="0" t="s">
        <v>39</v>
      </c>
      <c r="B4" s="0" t="s">
        <v>40</v>
      </c>
      <c r="C4" s="0" t="n">
        <v>972.2</v>
      </c>
    </row>
    <row r="5" customFormat="false" ht="15" hidden="false" customHeight="false" outlineLevel="0" collapsed="false">
      <c r="A5" s="0" t="s">
        <v>41</v>
      </c>
      <c r="B5" s="0" t="s">
        <v>40</v>
      </c>
      <c r="C5" s="0" t="n">
        <v>1026.2</v>
      </c>
    </row>
    <row r="6" customFormat="false" ht="15" hidden="false" customHeight="false" outlineLevel="0" collapsed="false">
      <c r="A6" s="0" t="s">
        <v>42</v>
      </c>
      <c r="B6" s="0" t="s">
        <v>40</v>
      </c>
      <c r="C6" s="0" t="n">
        <v>1075.58</v>
      </c>
    </row>
    <row r="7" customFormat="false" ht="15" hidden="false" customHeight="false" outlineLevel="0" collapsed="false">
      <c r="A7" s="0" t="s">
        <v>43</v>
      </c>
      <c r="B7" s="0" t="s">
        <v>44</v>
      </c>
      <c r="C7" s="0" t="n">
        <v>140.4</v>
      </c>
    </row>
    <row r="8" customFormat="false" ht="15" hidden="false" customHeight="false" outlineLevel="0" collapsed="false">
      <c r="A8" s="0" t="s">
        <v>45</v>
      </c>
      <c r="B8" s="0" t="s">
        <v>44</v>
      </c>
      <c r="C8" s="0" t="n">
        <v>152.6</v>
      </c>
    </row>
    <row r="9" customFormat="false" ht="15" hidden="false" customHeight="false" outlineLevel="0" collapsed="false">
      <c r="A9" s="0" t="s">
        <v>46</v>
      </c>
      <c r="B9" s="0" t="s">
        <v>44</v>
      </c>
      <c r="C9" s="0" t="n">
        <v>164.3</v>
      </c>
    </row>
    <row r="11" customFormat="false" ht="16.15" hidden="false" customHeight="false" outlineLevel="0" collapsed="false">
      <c r="A11" s="9" t="s">
        <v>47</v>
      </c>
      <c r="C11" s="10" t="n">
        <f aca="false">ROUND((C6-C4)/C4*100,1)</f>
        <v>10.6</v>
      </c>
    </row>
    <row r="12" customFormat="false" ht="16.15" hidden="false" customHeight="false" outlineLevel="0" collapsed="false">
      <c r="A12" s="9" t="s">
        <v>48</v>
      </c>
      <c r="C12" s="10" t="n">
        <f aca="false">ROUND((C9-C7)/C7*100,1)</f>
        <v>17</v>
      </c>
    </row>
    <row r="14" customFormat="false" ht="17.35" hidden="false" customHeight="false" outlineLevel="0" collapsed="false">
      <c r="A14" s="9" t="s">
        <v>49</v>
      </c>
      <c r="C14" s="11" t="n">
        <f aca="false">ROUND(C12-C11,1)</f>
        <v>6.4</v>
      </c>
    </row>
    <row r="16" customFormat="false" ht="15" hidden="false" customHeight="false" outlineLevel="0" collapsed="false">
      <c r="A16" s="1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2026-08-09T20:11:51Z</dcterms:created>
  <dc:creator>openpyxl</dc:creator>
  <dc:description/>
  <dc:language>en-US</dc:language>
  <cp:lastModifiedBy/>
  <dcterms:modified xsi:type="dcterms:W3CDTF">2026-08-09T20:11:53Z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